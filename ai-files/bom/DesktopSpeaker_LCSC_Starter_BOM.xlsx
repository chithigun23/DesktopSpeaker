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95f9f8c0d845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f292f786c25747fa"/>
    <x:sheet xmlns:r="http://schemas.openxmlformats.org/officeDocument/2006/relationships" name="Open selections" sheetId="2" r:id="R48a4253aa4534a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120c560cf549d6" /><Relationship Type="http://schemas.openxmlformats.org/officeDocument/2006/relationships/theme" Target="/xl/theme/theme1.xml" Id="R437697f44cba4e09" /><Relationship Type="http://schemas.openxmlformats.org/officeDocument/2006/relationships/sharedStrings" Target="/xl/sharedStrings.xml" Id="R69eb536d5ae34d82" /><Relationship Type="http://schemas.openxmlformats.org/officeDocument/2006/relationships/worksheet" Target="/xl/worksheets/sheet1.xml" Id="Rf292f786c25747fa" /><Relationship Type="http://schemas.openxmlformats.org/officeDocument/2006/relationships/worksheet" Target="/xl/worksheets/sheet2.xml" Id="R48a4253aa4534a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ROUND(SUM(L11:L83),2)</x:f>
        <x:v>69.49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ROUND(SUM(M11:M83),2)</x:f>
        <x:v>86.01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IF(OR(D11="",G11="",H11=""),"",IF(COUNTIF($D$11:D11,D11)&gt;1,0,ROUNDUP(MAX(SUMIF($D$11:$D$83,D11,$F$11:$F$83),G11)/H11,0)*H11))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IF(OR(D12="",G12="",H12=""),"",IF(COUNTIF($D$11:D12,D12)&gt;1,0,ROUNDUP(MAX(SUMIF($D$11:$D$83,D12,$F$11:$F$83),G12)/H12,0)*H12))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IF(OR(D13="",G13="",H13=""),"",IF(COUNTIF($D$11:D13,D13)&gt;1,0,ROUNDUP(MAX(SUMIF($D$11:$D$83,D13,$F$11:$F$83),G13)/H13,0)*H13))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IF(OR(D14="",G14="",H14=""),"",IF(COUNTIF($D$11:D14,D14)&gt;1,0,ROUNDUP(MAX(SUMIF($D$11:$D$83,D14,$F$11:$F$83),G14)/H14,0)*H14))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IF(OR(D15="",G15="",H15=""),"",IF(COUNTIF($D$11:D15,D15)&gt;1,0,ROUNDUP(MAX(SUMIF($D$11:$D$83,D15,$F$11:$F$83),G15)/H15,0)*H15))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IF(OR(D16="",G16="",H16=""),"",IF(COUNTIF($D$11:D16,D16)&gt;1,0,ROUNDUP(MAX(SUMIF($D$11:$D$83,D16,$F$11:$F$83),G16)/H16,0)*H16))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IF(OR(D17="",G17="",H17=""),"",IF(COUNTIF($D$11:D17,D17)&gt;1,0,ROUNDUP(MAX(SUMIF($D$11:$D$83,D17,$F$11:$F$83),G17)/H17,0)*H17))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IF(OR(D18="",G18="",H18=""),"",IF(COUNTIF($D$11:D18,D18)&gt;1,0,ROUNDUP(MAX(SUMIF($D$11:$D$83,D18,$F$11:$F$83),G18)/H18,0)*H18))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IF(OR(D19="",G19="",H19=""),"",IF(COUNTIF($D$11:D19,D19)&gt;1,0,ROUNDUP(MAX(SUMIF($D$11:$D$83,D19,$F$11:$F$83),G19)/H19,0)*H19))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IF(OR(D20="",G20="",H20=""),"",IF(COUNTIF($D$11:D20,D20)&gt;1,0,ROUNDUP(MAX(SUMIF($D$11:$D$83,D20,$F$11:$F$83),G20)/H20,0)*H20))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IF(OR(D21="",G21="",H21=""),"",IF(COUNTIF($D$11:D21,D21)&gt;1,0,ROUNDUP(MAX(SUMIF($D$11:$D$83,D21,$F$11:$F$83),G21)/H21,0)*H21))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IF(OR(D22="",G22="",H22=""),"",IF(COUNTIF($D$11:D22,D22)&gt;1,0,ROUNDUP(MAX(SUMIF($D$11:$D$83,D22,$F$11:$F$83),G22)/H22,0)*H22))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IF(OR(D23="",G23="",H23=""),"",IF(COUNTIF($D$11:D23,D23)&gt;1,0,ROUNDUP(MAX(SUMIF($D$11:$D$83,D23,$F$11:$F$83),G23)/H23,0)*H23))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IF(OR(D24="",G24="",H24=""),"",IF(COUNTIF($D$11:D24,D24)&gt;1,0,ROUNDUP(MAX(SUMIF($D$11:$D$83,D24,$F$11:$F$83),G24)/H24,0)*H24))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IF(OR(D25="",G25="",H25=""),"",IF(COUNTIF($D$11:D25,D25)&gt;1,0,ROUNDUP(MAX(SUMIF($D$11:$D$83,D25,$F$11:$F$83),G25)/H25,0)*H25))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IF(OR(D26="",G26="",H26=""),"",IF(COUNTIF($D$11:D26,D26)&gt;1,0,ROUNDUP(MAX(SUMIF($D$11:$D$83,D26,$F$11:$F$83),G26)/H26,0)*H26))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IF(OR(D27="",G27="",H27=""),"",IF(COUNTIF($D$11:D27,D27)&gt;1,0,ROUNDUP(MAX(SUMIF($D$11:$D$83,D27,$F$11:$F$83),G27)/H27,0)*H27))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IF(OR(D28="",G28="",H28=""),"",IF(COUNTIF($D$11:D28,D28)&gt;1,0,ROUNDUP(MAX(SUMIF($D$11:$D$83,D28,$F$11:$F$83),G28)/H28,0)*H28))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IF(OR(D29="",G29="",H29=""),"",IF(COUNTIF($D$11:D29,D29)&gt;1,0,ROUNDUP(MAX(SUMIF($D$11:$D$83,D29,$F$11:$F$83),G29)/H29,0)*H29))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IF(OR(D30="",G30="",H30=""),"",IF(COUNTIF($D$11:D30,D30)&gt;1,0,ROUNDUP(MAX(SUMIF($D$11:$D$83,D30,$F$11:$F$83),G30)/H30,0)*H30))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IF(OR(D31="",G31="",H31=""),"",IF(COUNTIF($D$11:D31,D31)&gt;1,0,ROUNDUP(MAX(SUMIF($D$11:$D$83,D31,$F$11:$F$83),G31)/H31,0)*H31))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IF(OR(D32="",G32="",H32=""),"",IF(COUNTIF($D$11:D32,D32)&gt;1,0,ROUNDUP(MAX(SUMIF($D$11:$D$83,D32,$F$11:$F$83),G32)/H32,0)*H32))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6</x:v>
      </x:c>
      <x:c r="G33" t="n">
        <x:v>10</x:v>
      </x:c>
      <x:c r="H33" t="n">
        <x:v>10</x:v>
      </x:c>
      <x:c r="I33" t="n">
        <x:f>IF(OR(D33="",G33="",H33=""),"",IF(COUNTIF($D$11:D33,D33)&gt;1,0,ROUNDUP(MAX(SUMIF($D$11:$D$83,D33,$F$11:$F$83),G33)/H33,0)*H33))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0.2418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C5, C186, C187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3</x:v>
      </x:c>
      <x:c r="G34" t="n">
        <x:v>10</x:v>
      </x:c>
      <x:c r="H34" t="n">
        <x:v>10</x:v>
      </x:c>
      <x:c r="I34" t="n">
        <x:f>IF(OR(D34="",G34="",H34=""),"",IF(COUNTIF($D$11:D34,D34)&gt;1,0,ROUNDUP(MAX(SUMIF($D$11:$D$83,D34,$F$11:$F$83),G34)/H34,0)*H34))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0.2277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IF(OR(D35="",G35="",H35=""),"",IF(COUNTIF($D$11:D35,D35)&gt;1,0,ROUNDUP(MAX(SUMIF($D$11:$D$83,D35,$F$11:$F$83),G35)/H35,0)*H35))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IF(OR(D36="",G36="",H36=""),"",IF(COUNTIF($D$11:D36,D36)&gt;1,0,ROUNDUP(MAX(SUMIF($D$11:$D$83,D36,$F$11:$F$83),G36)/H36,0)*H36))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IF(OR(D37="",G37="",H37=""),"",IF(COUNTIF($D$11:D37,D37)&gt;1,0,ROUNDUP(MAX(SUMIF($D$11:$D$83,D37,$F$11:$F$83),G37)/H37,0)*H37))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6</x:v>
      </x:c>
      <x:c r="G38" t="n">
        <x:v>10</x:v>
      </x:c>
      <x:c r="H38" t="n">
        <x:v>10</x:v>
      </x:c>
      <x:c r="I38" t="n">
        <x:f>IF(OR(D38="",G38="",H38=""),"",IF(COUNTIF($D$11:D38,D38)&gt;1,0,ROUNDUP(MAX(SUMIF($D$11:$D$83,D38,$F$11:$F$83),G38)/H38,0)*H38))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0.558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IF(OR(D39="",G39="",H39=""),"",IF(COUNTIF($D$11:D39,D39)&gt;1,0,ROUNDUP(MAX(SUMIF($D$11:$D$83,D39,$F$11:$F$83),G39)/H39,0)*H39))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IF(OR(D40="",G40="",H40=""),"",IF(COUNTIF($D$11:D40,D40)&gt;1,0,ROUNDUP(MAX(SUMIF($D$11:$D$83,D40,$F$11:$F$83),G40)/H40,0)*H40))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IF(OR(D41="",G41="",H41=""),"",IF(COUNTIF($D$11:D41,D41)&gt;1,0,ROUNDUP(MAX(SUMIF($D$11:$D$83,D41,$F$11:$F$83),G41)/H41,0)*H41))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IF(OR(D42="",G42="",H42=""),"",IF(COUNTIF($D$11:D42,D42)&gt;1,0,ROUNDUP(MAX(SUMIF($D$11:$D$83,D42,$F$11:$F$83),G42)/H42,0)*H42))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IF(OR(D43="",G43="",H43=""),"",IF(COUNTIF($D$11:D43,D43)&gt;1,0,ROUNDUP(MAX(SUMIF($D$11:$D$83,D43,$F$11:$F$83),G43)/H43,0)*H43))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IF(OR(D44="",G44="",H44=""),"",IF(COUNTIF($D$11:D44,D44)&gt;1,0,ROUNDUP(MAX(SUMIF($D$11:$D$83,D44,$F$11:$F$83),G44)/H44,0)*H44))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IF(OR(D45="",G45="",H45=""),"",IF(COUNTIF($D$11:D45,D45)&gt;1,0,ROUNDUP(MAX(SUMIF($D$11:$D$83,D45,$F$11:$F$83),G45)/H45,0)*H45))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IF(OR(D46="",G46="",H46=""),"",IF(COUNTIF($D$11:D46,D46)&gt;1,0,ROUNDUP(MAX(SUMIF($D$11:$D$83,D46,$F$11:$F$83),G46)/H46,0)*H46))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IF(OR(D47="",G47="",H47=""),"",IF(COUNTIF($D$11:D47,D47)&gt;1,0,ROUNDUP(MAX(SUMIF($D$11:$D$83,D47,$F$11:$F$83),G47)/H47,0)*H47))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IF(OR(D48="",G48="",H48=""),"",IF(COUNTIF($D$11:D48,D48)&gt;1,0,ROUNDUP(MAX(SUMIF($D$11:$D$83,D48,$F$11:$F$83),G48)/H48,0)*H48))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IF(OR(D49="",G49="",H49=""),"",IF(COUNTIF($D$11:D49,D49)&gt;1,0,ROUNDUP(MAX(SUMIF($D$11:$D$83,D49,$F$11:$F$83),G49)/H49,0)*H49))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5</x:v>
      </x:c>
      <x:c r="G50" t="n">
        <x:v>100</x:v>
      </x:c>
      <x:c r="H50" t="n">
        <x:v>100</x:v>
      </x:c>
      <x:c r="I50" t="n">
        <x:f>IF(OR(D50="",G50="",H50=""),"",IF(COUNTIF($D$11:D50,D50)&gt;1,0,ROUNDUP(MAX(SUMIF($D$11:$D$83,D50,$F$11:$F$83),G50)/H50,0)*H50))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0.017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IF(OR(D51="",G51="",H51=""),"",IF(COUNTIF($D$11:D51,D51)&gt;1,0,ROUNDUP(MAX(SUMIF($D$11:$D$83,D51,$F$11:$F$83),G51)/H51,0)*H51))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IF(OR(D52="",G52="",H52=""),"",IF(COUNTIF($D$11:D52,D52)&gt;1,0,ROUNDUP(MAX(SUMIF($D$11:$D$83,D52,$F$11:$F$83),G52)/H52,0)*H52))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IF(OR(D53="",G53="",H53=""),"",IF(COUNTIF($D$11:D53,D53)&gt;1,0,ROUNDUP(MAX(SUMIF($D$11:$D$83,D53,$F$11:$F$83),G53)/H53,0)*H53))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IF(OR(D54="",G54="",H54=""),"",IF(COUNTIF($D$11:D54,D54)&gt;1,0,ROUNDUP(MAX(SUMIF($D$11:$D$83,D54,$F$11:$F$83),G54)/H54,0)*H54))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IF(OR(D55="",G55="",H55=""),"",IF(COUNTIF($D$11:D55,D55)&gt;1,0,ROUNDUP(MAX(SUMIF($D$11:$D$83,D55,$F$11:$F$83),G55)/H55,0)*H55))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IF(OR(D56="",G56="",H56=""),"",IF(COUNTIF($D$11:D56,D56)&gt;1,0,ROUNDUP(MAX(SUMIF($D$11:$D$83,D56,$F$11:$F$83),G56)/H56,0)*H56))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IF(OR(D57="",G57="",H57=""),"",IF(COUNTIF($D$11:D57,D57)&gt;1,0,ROUNDUP(MAX(SUMIF($D$11:$D$83,D57,$F$11:$F$83),G57)/H57,0)*H57))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10</x:v>
      </x:c>
      <x:c r="G58" t="n">
        <x:v>100</x:v>
      </x:c>
      <x:c r="H58" t="n">
        <x:v>100</x:v>
      </x:c>
      <x:c r="I58" t="n">
        <x:f>IF(OR(D58="",G58="",H58=""),"",IF(COUNTIF($D$11:D58,D58)&gt;1,0,ROUNDUP(MAX(SUMIF($D$11:$D$83,D58,$F$11:$F$83),G58)/H58,0)*H58))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0.111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IF(OR(D59="",G59="",H59=""),"",IF(COUNTIF($D$11:D59,D59)&gt;1,0,ROUNDUP(MAX(SUMIF($D$11:$D$83,D59,$F$11:$F$83),G59)/H59,0)*H59))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IF(OR(D60="",G60="",H60=""),"",IF(COUNTIF($D$11:D60,D60)&gt;1,0,ROUNDUP(MAX(SUMIF($D$11:$D$83,D60,$F$11:$F$83),G60)/H60,0)*H60))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IF(OR(D61="",G61="",H61=""),"",IF(COUNTIF($D$11:D61,D61)&gt;1,0,ROUNDUP(MAX(SUMIF($D$11:$D$83,D61,$F$11:$F$83),G61)/H61,0)*H61))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IF(OR(D62="",G62="",H62=""),"",IF(COUNTIF($D$11:D62,D62)&gt;1,0,ROUNDUP(MAX(SUMIF($D$11:$D$83,D62,$F$11:$F$83),G62)/H62,0)*H62))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IF(OR(D63="",G63="",H63=""),"",IF(COUNTIF($D$11:D63,D63)&gt;1,0,ROUNDUP(MAX(SUMIF($D$11:$D$83,D63,$F$11:$F$83),G63)/H63,0)*H63))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IF(OR(D64="",G64="",H64=""),"",IF(COUNTIF($D$11:D64,D64)&gt;1,0,ROUNDUP(MAX(SUMIF($D$11:$D$83,D64,$F$11:$F$83),G64)/H64,0)*H64))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IF(OR(D65="",G65="",H65=""),"",IF(COUNTIF($D$11:D65,D65)&gt;1,0,ROUNDUP(MAX(SUMIF($D$11:$D$83,D65,$F$11:$F$83),G65)/H65,0)*H65))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IF(OR(D66="",G66="",H66=""),"",IF(COUNTIF($D$11:D66,D66)&gt;1,0,ROUNDUP(MAX(SUMIF($D$11:$D$83,D66,$F$11:$F$83),G66)/H66,0)*H66))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IF(OR(D67="",G67="",H67=""),"",IF(COUNTIF($D$11:D67,D67)&gt;1,0,ROUNDUP(MAX(SUMIF($D$11:$D$83,D67,$F$11:$F$83),G67)/H67,0)*H67))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IF(OR(D68="",G68="",H68=""),"",IF(COUNTIF($D$11:D68,D68)&gt;1,0,ROUNDUP(MAX(SUMIF($D$11:$D$83,D68,$F$11:$F$83),G68)/H68,0)*H68))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6</x:v>
      </x:c>
      <x:c r="G69" t="n">
        <x:v>100</x:v>
      </x:c>
      <x:c r="H69" t="n">
        <x:v>100</x:v>
      </x:c>
      <x:c r="I69" t="n">
        <x:f>IF(OR(D69="",G69="",H69=""),"",IF(COUNTIF($D$11:D69,D69)&gt;1,0,ROUNDUP(MAX(SUMIF($D$11:$D$83,D69,$F$11:$F$83),G69)/H69,0)*H69))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0.0216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IF(OR(D70="",G70="",H70=""),"",IF(COUNTIF($D$11:D70,D70)&gt;1,0,ROUNDUP(MAX(SUMIF($D$11:$D$83,D70,$F$11:$F$83),G70)/H70,0)*H70))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IF(OR(D71="",G71="",H71=""),"",IF(COUNTIF($D$11:D71,D71)&gt;1,0,ROUNDUP(MAX(SUMIF($D$11:$D$83,D71,$F$11:$F$83),G71)/H71,0)*H71))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IF(OR(D72="",G72="",H72=""),"",IF(COUNTIF($D$11:D72,D72)&gt;1,0,ROUNDUP(MAX(SUMIF($D$11:$D$83,D72,$F$11:$F$83),G72)/H72,0)*H72))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IF(OR(D73="",G73="",H73=""),"",IF(COUNTIF($D$11:D73,D73)&gt;1,0,ROUNDUP(MAX(SUMIF($D$11:$D$83,D73,$F$11:$F$83),G73)/H73,0)*H73))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IF(OR(D74="",G74="",H74=""),"",IF(COUNTIF($D$11:D74,D74)&gt;1,0,ROUNDUP(MAX(SUMIF($D$11:$D$83,D74,$F$11:$F$83),G74)/H74,0)*H74))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IF(OR(D75="",G75="",H75=""),"",IF(COUNTIF($D$11:D75,D75)&gt;1,0,ROUNDUP(MAX(SUMIF($D$11:$D$83,D75,$F$11:$F$83),G75)/H75,0)*H75))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3</x:v>
      </x:c>
      <x:c r="G76" t="n">
        <x:v>100</x:v>
      </x:c>
      <x:c r="H76" t="n">
        <x:v>100</x:v>
      </x:c>
      <x:c r="I76" t="n">
        <x:f>IF(OR(D76="",G76="",H76=""),"",IF(COUNTIF($D$11:D76,D76)&gt;1,0,ROUNDUP(MAX(SUMIF($D$11:$D$83,D76,$F$11:$F$83),G76)/H76,0)*H76))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0.0168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IF(OR(D77="",G77="",H77=""),"",IF(COUNTIF($D$11:D77,D77)&gt;1,0,ROUNDUP(MAX(SUMIF($D$11:$D$83,D77,$F$11:$F$83),G77)/H77,0)*H77))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1x5 2.54 mm</x:v>
      </x:c>
      <x:c r="C78" s="21" t="str">
        <x:v>XYECONN</x:v>
      </x:c>
      <x:c r="D78" s="21" t="str">
        <x:v>XY-MTP254-1X5</x:v>
      </x:c>
      <x:c r="E78" s="21" t="str">
        <x:v>C54110162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IF(OR(D78="",G78="",H78=""),"",IF(COUNTIF($D$11:D78,D78)&gt;1,0,ROUNDUP(MAX(SUMIF($D$11:$D$83,D78,$F$11:$F$83),G78)/H78,0)*H78))</x:f>
        <x:v>10</x:v>
      </x:c>
      <x:c r="J78" t="n">
        <x:v>10</x:v>
      </x:c>
      <x:c r="K78" s="26" t="n">
        <x:v>0.0267</x:v>
      </x:c>
      <x:c r="L78" s="27" t="n">
        <x:f>IF(K78="","",ROUND(F78*K78,4))</x:f>
        <x:v>0.0267</x:v>
      </x:c>
      <x:c r="M78" s="27" t="n">
        <x:f>IF(OR(K78="",I78="",N78=""),"",IF(N78&gt;=I78,ROUND(I78*K78,4),""))</x:f>
        <x:v>0.267</x:v>
      </x:c>
      <x:c r="N78" t="n">
        <x:v>1830</x:v>
      </x:c>
      <x:c r="O78" t="str">
        <x:v>Listing snapshot, 2026-10-06</x:v>
      </x:c>
      <x:c r="P78" s="16" t="n">
        <x:v>46300</x:v>
      </x:c>
      <x:c r="Q78" t="str">
        <x:v>2026-10-06</x:v>
      </x:c>
      <x:c r="R78" t="str">
        <x:v>1x5 straight THT header; footprint PinHeader_1x05_P2.54mm_Vertical (stock KiCad STEP). Pin order 1 SWDIO 2 SWCLK 3 NRST 4 3V_AO 5 GND.</x:v>
      </x:c>
      <x:c r="S78" t="str">
        <x:v>https://www.lcsc.com/product-detail/C54110162.html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IF(OR(D79="",G79="",H79=""),"",IF(COUNTIF($D$11:D79,D79)&gt;1,0,ROUNDUP(MAX(SUMIF($D$11:$D$83,D79,$F$11:$F$83),G79)/H79,0)*H79))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22 pF load caps give ~14 pF CL, below the 20 pF rating: tune at bring-up.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22 pF C0G 0603</x:v>
      </x:c>
      <x:c r="C80" s="21" t="str">
        <x:v>Samsung Electro-Mechanics</x:v>
      </x:c>
      <x:c r="D80" s="21" t="str">
        <x:v>CL10C220JB8NNNC</x:v>
      </x:c>
      <x:c r="E80" s="21" t="str">
        <x:v>C1653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IF(OR(D80="",G80="",H80=""),"",IF(COUNTIF($D$11:D80,D80)&gt;1,0,ROUNDUP(MAX(SUMIF($D$11:$D$83,D80,$F$11:$F$83),G80)/H80,0)*H80))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LCSC number from search result; price/stock unverified</x:v>
      </x:c>
      <x:c r="P80" s="16" t="n">
        <x:v>46300</x:v>
      </x:c>
      <x:c r="Q80" t="str">
        <x:v>2026-10-06</x:v>
      </x:c>
      <x:c r="R80" t="str">
        <x:v>DS: 10-33 pF depending on crystal.</x:v>
      </x:c>
      <x:c r="S80" t="str">
        <x:v>https://www.lcsc.com/product-detail/C1653.html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/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IF(OR(D81="",G81="",H81=""),"",IF(COUNTIF($D$11:D81,D81)&gt;1,0,ROUNDUP(MAX(SUMIF($D$11:$D$83,D81,$F$11:$F$83),G81)/H81,0)*H81))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not found</x:v>
      </x:c>
      <x:c r="P81" t="n">
        <x:v>46300</x:v>
      </x:c>
      <x:c r="Q81" t="str">
        <x:v>2026-10-06</x:v>
      </x:c>
      <x:c r="R81" t="str">
        <x:v>Part number follows the family; LCSC code and price still to be looked up.</x:v>
      </x:c>
      <x:c r="S81" t="str"/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/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IF(OR(D82="",G82="",H82=""),"",IF(COUNTIF($D$11:D82,D82)&gt;1,0,ROUNDUP(MAX(SUMIF($D$11:$D$83,D82,$F$11:$F$83),G82)/H82,0)*H82))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LCSC number not found</x:v>
      </x:c>
      <x:c r="P82" t="n">
        <x:v>46300</x:v>
      </x:c>
      <x:c r="Q82" t="str">
        <x:v>2026-10-06</x:v>
      </x:c>
      <x:c r="R82" t="str">
        <x:v>Alternative seen in search: UNI-ROYAL 0603WAJ0220T5E / C1203 (22 ohm, 5%).</x:v>
      </x:c>
      <x:c r="S82" t="str"/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IF(OR(D83="",G83="",H83=""),"",IF(COUNTIF($D$11:D83,D83)&gt;1,0,ROUNDUP(MAX(SUMIF($D$11:$D$83,D83,$F$11:$F$83),G83)/H83,0)*H83))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 ht="48" customHeight="1">
      <x:c r="A85" t="str">
        <x:v>U18 links a derived STEP with corrected exposed pad; manufacturer exact model remains unavailable.</x:v>
      </x:c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 t="str">
        <x:v>U18 links a derived STEP with corrected exposed pad; manufacturer exact model remains unavailable.</x:v>
      </x:c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