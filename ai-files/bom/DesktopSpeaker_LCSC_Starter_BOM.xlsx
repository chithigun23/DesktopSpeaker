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18e26ba6e48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cfe5ef04d251472e"/>
    <x:sheet xmlns:r="http://schemas.openxmlformats.org/officeDocument/2006/relationships" name="Open selections" sheetId="2" r:id="Rc7f5797f957e4915"/>
    <x:sheet xmlns:r="http://schemas.openxmlformats.org/officeDocument/2006/relationships" name="Candidate fixes" sheetId="3" r:id="R38e0c34ddca84d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7e19fe0eab4d2e" /><Relationship Type="http://schemas.openxmlformats.org/officeDocument/2006/relationships/theme" Target="/xl/theme/theme1.xml" Id="R5e93019639394453" /><Relationship Type="http://schemas.openxmlformats.org/officeDocument/2006/relationships/sharedStrings" Target="/xl/sharedStrings.xml" Id="R6135359f11c245df" /><Relationship Type="http://schemas.openxmlformats.org/officeDocument/2006/relationships/worksheet" Target="/xl/worksheets/sheet1.xml" Id="Rcfe5ef04d251472e" /><Relationship Type="http://schemas.openxmlformats.org/officeDocument/2006/relationships/worksheet" Target="/xl/worksheets/sheet2.xml" Id="Rc7f5797f957e4915" /><Relationship Type="http://schemas.openxmlformats.org/officeDocument/2006/relationships/worksheet" Target="/xl/worksheets/sheet3.xml" Id="R38e0c34ddca84d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ROUND(SUM(L11:L87),2)</x:f>
        <x:v>75.61</x:v>
      </x:c>
      <x:c r="F4" s="1"/>
      <x:c r="G4" s="1" t="str">
        <x:v>BOM updated 2026-10-05 with gauge undervoltage supervisor and isolation controls; stock/prices are listing snapshots.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ROUND(SUM(M11:M87),2)</x:f>
        <x:v>95.01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IF(OR(D11="",G11="",H11=""),"",IF(COUNTIF($D$11:D11,D11)&gt;1,0,ROUNDUP(MAX(SUMIF($D$11:$D$87,D11,$F$11:$F$87),G11)/H11,0)*H11))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IF(OR(D12="",G12="",H12=""),"",IF(COUNTIF($D$11:D12,D12)&gt;1,0,ROUNDUP(MAX(SUMIF($D$11:$D$87,D12,$F$11:$F$87),G12)/H12,0)*H12))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</x:v>
      </x:c>
      <x:c r="C13" s="22" t="str">
        <x:v>TI</x:v>
      </x:c>
      <x:c r="D13" s="22" t="str">
        <x:v>BQ25895RTWR</x:v>
      </x:c>
      <x:c r="E13" s="22" t="str">
        <x:v>C80200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IF(OR(D13="",G13="",H13=""),"",IF(COUNTIF($D$11:D13,D13)&gt;1,0,ROUNDUP(MAX(SUMIF($D$11:$D$87,D13,$F$11:$F$87),G13)/H13,0)*H13))</x:f>
        <x:v>1</x:v>
      </x:c>
      <x:c r="J13" s="6" t="n">
        <x:v>1</x:v>
      </x:c>
      <x:c r="K13" s="28" t="n">
        <x:v>2.1402</x:v>
      </x:c>
      <x:c r="L13" s="30" t="n">
        <x:f>IF(K13="","",ROUND(F13*K13,4))</x:f>
        <x:v>2.1402</x:v>
      </x:c>
      <x:c r="M13" s="30" t="n">
        <x:f>IF(OR(K13="",I13="",N13=""),"",IF(N13&gt;=I13,ROUND(I13*K13,4),""))</x:f>
        <x:v>2.1402</x:v>
      </x:c>
      <x:c r="N13" s="7" t="n">
        <x:v>4508</x:v>
      </x:c>
      <x:c r="O13" s="1" t="str">
        <x:v>In stock</x:v>
      </x:c>
      <x:c r="P13" s="4" t="n">
        <x:v>46297</x:v>
      </x:c>
      <x:c r="Q13" s="1" t="str">
        <x:v>today</x:v>
      </x:c>
      <x:c r="R13" s="1"/>
      <x:c r="S13" s="1" t="str">
        <x:v>https://www.lcsc.com/product-detail/C80200.html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IF(OR(D14="",G14="",H14=""),"",IF(COUNTIF($D$11:D14,D14)&gt;1,0,ROUNDUP(MAX(SUMIF($D$11:$D$87,D14,$F$11:$F$87),G14)/H14,0)*H14))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IF(OR(D15="",G15="",H15=""),"",IF(COUNTIF($D$11:D15,D15)&gt;1,0,ROUNDUP(MAX(SUMIF($D$11:$D$87,D15,$F$11:$F$87),G15)/H15,0)*H15))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IF(OR(D16="",G16="",H16=""),"",IF(COUNTIF($D$11:D16,D16)&gt;1,0,ROUNDUP(MAX(SUMIF($D$11:$D$87,D16,$F$11:$F$87),G16)/H16,0)*H16))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IF(OR(D17="",G17="",H17=""),"",IF(COUNTIF($D$11:D17,D17)&gt;1,0,ROUNDUP(MAX(SUMIF($D$11:$D$87,D17,$F$11:$F$87),G17)/H17,0)*H17))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IF(OR(D18="",G18="",H18=""),"",IF(COUNTIF($D$11:D18,D18)&gt;1,0,ROUNDUP(MAX(SUMIF($D$11:$D$87,D18,$F$11:$F$87),G18)/H18,0)*H18))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IF(OR(D19="",G19="",H19=""),"",IF(COUNTIF($D$11:D19,D19)&gt;1,0,ROUNDUP(MAX(SUMIF($D$11:$D$87,D19,$F$11:$F$87),G19)/H19,0)*H19))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IF(OR(D20="",G20="",H20=""),"",IF(COUNTIF($D$11:D20,D20)&gt;1,0,ROUNDUP(MAX(SUMIF($D$11:$D$87,D20,$F$11:$F$87),G20)/H20,0)*H20))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IF(OR(D21="",G21="",H21=""),"",IF(COUNTIF($D$11:D21,D21)&gt;1,0,ROUNDUP(MAX(SUMIF($D$11:$D$87,D21,$F$11:$F$87),G21)/H21,0)*H21))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 PD controller</x:v>
      </x:c>
      <x:c r="C22" s="22" t="str">
        <x:v>ST</x:v>
      </x:c>
      <x:c r="D22" s="22" t="str">
        <x:v>STUSB4500QTR</x:v>
      </x:c>
      <x:c r="E22" s="22" t="str">
        <x:v>C2678061</x:v>
      </x:c>
      <x:c r="F22" s="22" t="n">
        <x:v>1</x:v>
      </x:c>
      <x:c r="G22" s="1" t="n">
        <x:v>1</x:v>
      </x:c>
      <x:c r="H22" s="1" t="n">
        <x:v>1</x:v>
      </x:c>
      <x:c r="I22" s="1" t="n">
        <x:f>IF(OR(D22="",G22="",H22=""),"",IF(COUNTIF($D$11:D22,D22)&gt;1,0,ROUNDUP(MAX(SUMIF($D$11:$D$87,D22,$F$11:$F$87),G22)/H22,0)*H22))</x:f>
        <x:v>1</x:v>
      </x:c>
      <x:c r="J22" s="1" t="n">
        <x:v>1</x:v>
      </x:c>
      <x:c r="K22" s="28" t="n">
        <x:v>2.6826</x:v>
      </x:c>
      <x:c r="L22" s="31" t="n">
        <x:f>IF(K22="","",ROUND(F22*K22,4))</x:f>
        <x:v>2.6826</x:v>
      </x:c>
      <x:c r="M22" s="31" t="n">
        <x:f>IF(OR(K22="",I22="",N22=""),"",IF(N22&gt;=I22,ROUND(I22*K22,4),""))</x:f>
        <x:v>2.6826</x:v>
      </x:c>
      <x:c r="N22" s="7" t="n">
        <x:v>4877</x:v>
      </x:c>
      <x:c r="O22" s="1" t="str">
        <x:v>Snapshot</x:v>
      </x:c>
      <x:c r="P22" s="4" t="n">
        <x:v>46299</x:v>
      </x:c>
      <x:c r="Q22" s="1" t="str">
        <x:v>today</x:v>
      </x:c>
      <x:c r="R22" s="1"/>
      <x:c r="S22" s="1" t="str">
        <x:v>https://www.lcsc.com/product-detail/C2678061.html</x:v>
      </x:c>
    </x:row>
    <x:row r="23" ht="36" customHeight="1">
      <x:c r="A23" s="24" t="str">
        <x:v>Q1, Q2</x:v>
      </x:c>
      <x:c r="B23" s="22" t="str">
        <x:v>PD reverse-blocking PMOS</x:v>
      </x:c>
      <x:c r="C23" s="22" t="str">
        <x:v>ST</x:v>
      </x:c>
      <x:c r="D23" s="22" t="str">
        <x:v>STL9P3LLH6</x:v>
      </x:c>
      <x:c r="E23" s="22" t="str">
        <x:v>C2969828</x:v>
      </x:c>
      <x:c r="F23" s="22" t="n">
        <x:v>2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IF(OR(D23="",G23="",H23=""),"",IF(COUNTIF($D$11:D23,D23)&gt;1,0,ROUNDUP(MAX(SUMIF($D$11:$D$87,D23,$F$11:$F$87),G23)/H23,0)*H23))</x:f>
        <x:v>2</x:v>
      </x:c>
      <x:c r="J23" s="1" t="n">
        <x:v>1</x:v>
      </x:c>
      <x:c r="K23" s="28" t="n">
        <x:v>1.0781</x:v>
      </x:c>
      <x:c r="L23" s="31" t="n">
        <x:f>IF(K23="","",ROUND(F23*K23,4))</x:f>
        <x:v>2.1562</x:v>
      </x:c>
      <x:c r="M23" s="31" t="n">
        <x:f>IF(OR(K23="",I23="",N23=""),"",IF(N23&gt;=I23,ROUND(I23*K23,4),""))</x:f>
        <x:v>2.1562</x:v>
      </x:c>
      <x:c r="N23" s="7" t="n">
        <x:v>829</x:v>
      </x:c>
      <x:c r="O23" s="1" t="str">
        <x:v>Snapshot</x:v>
      </x:c>
      <x:c r="P23" s="4" t="n">
        <x:v>46299</x:v>
      </x:c>
      <x:c r="Q23" s="1" t="str">
        <x:v>3 months ago</x:v>
      </x:c>
      <x:c r="R23" s="1"/>
      <x:c r="S23" s="1" t="str">
        <x:v>https://www.lcsc.com/product-detail/C2969828.html</x:v>
      </x:c>
    </x:row>
    <x:row r="24" ht="36" customHeight="1">
      <x:c r="A24" s="22" t="str">
        <x:v>U12</x:v>
      </x:c>
      <x:c r="B24" s="22" t="str">
        <x:v>3.0 V always-on LDO</x:v>
      </x:c>
      <x:c r="C24" s="22" t="str">
        <x:v>TI</x:v>
      </x:c>
      <x:c r="D24" s="22" t="str">
        <x:v>TPS7A0230PDBVR</x:v>
      </x:c>
      <x:c r="E24" s="22" t="str">
        <x:v>C3747031</x:v>
      </x:c>
      <x:c r="F24" s="22" t="n">
        <x:v>1</x:v>
      </x:c>
      <x:c r="G24" s="1" t="n">
        <x:v>1</x:v>
      </x:c>
      <x:c r="H24" s="1" t="n">
        <x:v>1</x:v>
      </x:c>
      <x:c r="I24" s="1" t="n">
        <x:f>IF(OR(D24="",G24="",H24=""),"",IF(COUNTIF($D$11:D24,D24)&gt;1,0,ROUNDUP(MAX(SUMIF($D$11:$D$87,D24,$F$11:$F$87),G24)/H24,0)*H24))</x:f>
        <x:v>1</x:v>
      </x:c>
      <x:c r="J24" s="1" t="n">
        <x:v>1</x:v>
      </x:c>
      <x:c r="K24" s="28" t="n">
        <x:v>0.4515</x:v>
      </x:c>
      <x:c r="L24" s="31" t="n">
        <x:f>IF(K24="","",ROUND(F24*K24,4))</x:f>
        <x:v>0.4515</x:v>
      </x:c>
      <x:c r="M24" s="31" t="n">
        <x:f>IF(OR(K24="",I24="",N24=""),"",IF(N24&gt;=I24,ROUND(I24*K24,4),""))</x:f>
        <x:v>0.4515</x:v>
      </x:c>
      <x:c r="N24" s="7" t="n">
        <x:v>37473</x:v>
      </x:c>
      <x:c r="O24" s="1" t="str">
        <x:v>Snapshot</x:v>
      </x:c>
      <x:c r="P24" s="4" t="n">
        <x:v>46299</x:v>
      </x:c>
      <x:c r="Q24" s="1" t="str">
        <x:v>today</x:v>
      </x:c>
      <x:c r="R24" s="1"/>
      <x:c r="S24" s="1" t="str">
        <x:v>https://www.lcsc.com/product-detail/C3747031.html</x:v>
      </x:c>
    </x:row>
    <x:row r="25" ht="36" customHeight="1">
      <x:c r="A25" s="22" t="str">
        <x:v>U13, U16, U17</x:v>
      </x:c>
      <x:c r="B25" s="22" t="str">
        <x:v>Low-current gauge signal isolation</x:v>
      </x:c>
      <x:c r="C25" s="22" t="str">
        <x:v>TI</x:v>
      </x:c>
      <x:c r="D25" s="22" t="str">
        <x:v>TS5A3167DBVR</x:v>
      </x:c>
      <x:c r="E25" s="22" t="str">
        <x:v>C128416</x:v>
      </x:c>
      <x:c r="F25" s="22" t="n">
        <x:v>3</x:v>
      </x:c>
      <x:c r="G25" s="1" t="n">
        <x:v>5</x:v>
      </x:c>
      <x:c r="H25" s="1" t="n">
        <x:v>5</x:v>
      </x:c>
      <x:c r="I25" s="1" t="n">
        <x:f>IF(OR(D25="",G25="",H25=""),"",IF(COUNTIF($D$11:D25,D25)&gt;1,0,ROUNDUP(MAX(SUMIF($D$11:$D$87,D25,$F$11:$F$87),G25)/H25,0)*H25))</x:f>
        <x:v>5</x:v>
      </x:c>
      <x:c r="J25" s="1" t="n">
        <x:v>5</x:v>
      </x:c>
      <x:c r="K25" s="28" t="n">
        <x:v>0.3187</x:v>
      </x:c>
      <x:c r="L25" s="31" t="n">
        <x:f>IF(K25="","",ROUND(F25*K25,4))</x:f>
        <x:v>0.9561</x:v>
      </x:c>
      <x:c r="M25" s="31" t="n">
        <x:f>IF(OR(K25="",I25="",N25=""),"",IF(N25&gt;=I25,ROUND(I25*K25,4),""))</x:f>
        <x:v>1.5935</x:v>
      </x:c>
      <x:c r="N25" s="7" t="n">
        <x:v>11755</x:v>
      </x:c>
      <x:c r="O25" s="1" t="str">
        <x:v>Listing snapshot</x:v>
      </x:c>
      <x:c r="P25" s="4" t="n">
        <x:v>46299</x:v>
      </x:c>
      <x:c r="Q25" s="1" t="str">
        <x:v>2026-10-04</x:v>
      </x:c>
      <x:c r="R25" s="1"/>
      <x:c r="S25" s="1" t="str">
        <x:v>https://www.lcsc.com/product-detail/C128416.html</x:v>
      </x:c>
    </x:row>
    <x:row r="26" ht="36" customHeight="1">
      <x:c r="A26" s="22" t="str">
        <x:v>Q100, Q104</x:v>
      </x:c>
      <x:c r="B26" s="22" t="str">
        <x:v>Charger CE and gauge-enable NMOS</x:v>
      </x:c>
      <x:c r="C26" s="22" t="str">
        <x:v>Nexperia</x:v>
      </x:c>
      <x:c r="D26" s="22" t="str">
        <x:v>2N7002,215</x:v>
      </x:c>
      <x:c r="E26" s="22" t="str">
        <x:v>C65189</x:v>
      </x:c>
      <x:c r="F26" s="22" t="n">
        <x:v>2</x:v>
      </x:c>
      <x:c r="G26" s="1" t="n">
        <x:v>20</x:v>
      </x:c>
      <x:c r="H26" s="1" t="n">
        <x:v>20</x:v>
      </x:c>
      <x:c r="I26" s="1" t="n">
        <x:f>IF(OR(D26="",G26="",H26=""),"",IF(COUNTIF($D$11:D26,D26)&gt;1,0,ROUNDUP(MAX(SUMIF($D$11:$D$87,D26,$F$11:$F$87),G26)/H26,0)*H26))</x:f>
        <x:v>20</x:v>
      </x:c>
      <x:c r="J26" s="1" t="n">
        <x:v>20</x:v>
      </x:c>
      <x:c r="K26" s="28" t="n">
        <x:v>0.0183</x:v>
      </x:c>
      <x:c r="L26" s="31" t="n">
        <x:f>IF(K26="","",ROUND(F26*K26,4))</x:f>
        <x:v>0.0366</x:v>
      </x:c>
      <x:c r="M26" s="31" t="n">
        <x:f>IF(OR(K26="",I26="",N26=""),"",IF(N26&gt;=I26,ROUND(I26*K26,4),""))</x:f>
        <x:v>0.366</x:v>
      </x:c>
      <x:c r="N26" s="7" t="n">
        <x:v>274640</x:v>
      </x:c>
      <x:c r="O26" s="1" t="str">
        <x:v>Snapshot</x:v>
      </x:c>
      <x:c r="P26" s="4" t="n">
        <x:v>46299</x:v>
      </x:c>
      <x:c r="Q26" s="1" t="str">
        <x:v>today</x:v>
      </x:c>
      <x:c r="R26" s="1"/>
      <x:c r="S26" s="1" t="str">
        <x:v>https://www.lcsc.com/product-detail/C65189.html</x:v>
      </x:c>
    </x:row>
    <x:row r="27" ht="36" customHeight="1">
      <x:c r="A27" s="22" t="str">
        <x:v>D5</x:v>
      </x:c>
      <x:c r="B27" s="22" t="str">
        <x:v>USB-C CC protection</x:v>
      </x:c>
      <x:c r="C27" s="22" t="str">
        <x:v>ST</x:v>
      </x:c>
      <x:c r="D27" s="22" t="str">
        <x:v>ESDA25L</x:v>
      </x:c>
      <x:c r="E27" s="22" t="str">
        <x:v>C95343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IF(OR(D27="",G27="",H27=""),"",IF(COUNTIF($D$11:D27,D27)&gt;1,0,ROUNDUP(MAX(SUMIF($D$11:$D$87,D27,$F$11:$F$87),G27)/H27,0)*H27))</x:f>
        <x:v>5</x:v>
      </x:c>
      <x:c r="J27" s="1" t="n">
        <x:v>5</x:v>
      </x:c>
      <x:c r="K27" s="28" t="n">
        <x:v>0.0971</x:v>
      </x:c>
      <x:c r="L27" s="31" t="n">
        <x:f>IF(K27="","",ROUND(F27*K27,4))</x:f>
        <x:v>0.0971</x:v>
      </x:c>
      <x:c r="M27" s="31" t="n">
        <x:f>IF(OR(K27="",I27="",N27=""),"",IF(N27&gt;=I27,ROUND(I27*K27,4),""))</x:f>
        <x:v>0.4855</x:v>
      </x:c>
      <x:c r="N27" s="7" t="n">
        <x:v>1955</x:v>
      </x:c>
      <x:c r="O27" s="1" t="str">
        <x:v>Snapshot</x:v>
      </x:c>
      <x:c r="P27" s="4" t="n">
        <x:v>46299</x:v>
      </x:c>
      <x:c r="Q27" s="1" t="str">
        <x:v>2 months ago</x:v>
      </x:c>
      <x:c r="R27" s="1"/>
      <x:c r="S27" s="1" t="str">
        <x:v>https://www.lcsc.com/product-detail/C95343.html</x:v>
      </x:c>
    </x:row>
    <x:row r="28" ht="36" customHeight="1">
      <x:c r="A28" s="22" t="str">
        <x:v>D6</x:v>
      </x:c>
      <x:c r="B28" s="22" t="str">
        <x:v>Raw VBUS 22V standoff TVS</x:v>
      </x:c>
      <x:c r="C28" s="22" t="str">
        <x:v>TI</x:v>
      </x:c>
      <x:c r="D28" s="22" t="str">
        <x:v>TVS2200DRVR</x:v>
      </x:c>
      <x:c r="E28" s="22" t="str">
        <x:v>C523793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IF(OR(D28="",G28="",H28=""),"",IF(COUNTIF($D$11:D28,D28)&gt;1,0,ROUNDUP(MAX(SUMIF($D$11:$D$87,D28,$F$11:$F$87),G28)/H28,0)*H28))</x:f>
        <x:v>5</x:v>
      </x:c>
      <x:c r="J28" s="1" t="n">
        <x:v>5</x:v>
      </x:c>
      <x:c r="K28" s="28" t="n">
        <x:v>0.4672</x:v>
      </x:c>
      <x:c r="L28" s="31" t="n">
        <x:f>IF(K28="","",ROUND(F28*K28,4))</x:f>
        <x:v>0.4672</x:v>
      </x:c>
      <x:c r="M28" s="31" t="n">
        <x:f>IF(OR(K28="",I28="",N28=""),"",IF(N28&gt;=I28,ROUND(I28*K28,4),""))</x:f>
        <x:v>2.336</x:v>
      </x:c>
      <x:c r="N28" s="7" t="n">
        <x:v>3285</x:v>
      </x:c>
      <x:c r="O28" s="1" t="str">
        <x:v>Listing snapshot</x:v>
      </x:c>
      <x:c r="P28" s="4" t="n">
        <x:v>46299</x:v>
      </x:c>
      <x:c r="Q28" s="1" t="str">
        <x:v>2026-10-04</x:v>
      </x:c>
      <x:c r="R28" s="1"/>
      <x:c r="S28" s="1" t="str">
        <x:v>https://www.lcsc.com/product-detail/C523793.html</x:v>
      </x:c>
    </x:row>
    <x:row r="29" ht="36" customHeight="1">
      <x:c r="A29" s="22" t="str">
        <x:v>L1</x:v>
      </x:c>
      <x:c r="B29" s="22" t="str">
        <x:v>Charger inductor</x:v>
      </x:c>
      <x:c r="C29" s="22" t="str">
        <x:v>Bourns</x:v>
      </x:c>
      <x:c r="D29" s="22" t="str">
        <x:v>SRN6045TA-2R2Y</x:v>
      </x:c>
      <x:c r="E29" s="22" t="str">
        <x:v>C1332316</x:v>
      </x:c>
      <x:c r="F29" s="22" t="n">
        <x:v>1</x:v>
      </x:c>
      <x:c r="G29" s="1" t="n">
        <x:v>5</x:v>
      </x:c>
      <x:c r="H29" s="1" t="n">
        <x:v>5</x:v>
      </x:c>
      <x:c r="I29" s="1" t="n">
        <x:f>IF(OR(D29="",G29="",H29=""),"",IF(COUNTIF($D$11:D29,D29)&gt;1,0,ROUNDUP(MAX(SUMIF($D$11:$D$87,D29,$F$11:$F$87),G29)/H29,0)*H29))</x:f>
        <x:v>5</x:v>
      </x:c>
      <x:c r="J29" s="1" t="n">
        <x:v>5</x:v>
      </x:c>
      <x:c r="K29" s="28" t="n">
        <x:v>0.2261</x:v>
      </x:c>
      <x:c r="L29" s="31" t="n">
        <x:f>IF(K29="","",ROUND(F29*K29,4))</x:f>
        <x:v>0.2261</x:v>
      </x:c>
      <x:c r="M29" s="31" t="n">
        <x:f>IF(OR(K29="",I29="",N29=""),"",IF(N29&gt;=I29,ROUND(I29*K29,4),""))</x:f>
        <x:v>1.1305</x:v>
      </x:c>
      <x:c r="N29" s="7" t="n">
        <x:v>2980</x:v>
      </x:c>
      <x:c r="O29" s="1" t="str">
        <x:v>Snapshot</x:v>
      </x:c>
      <x:c r="P29" s="4" t="n">
        <x:v>46299</x:v>
      </x:c>
      <x:c r="Q29" s="1" t="str">
        <x:v>5 days ago</x:v>
      </x:c>
      <x:c r="R29" s="1"/>
      <x:c r="S29" s="1" t="str">
        <x:v>https://www.lcsc.com/product-detail/C1332316.html</x:v>
      </x:c>
    </x:row>
    <x:row r="30" ht="96" customHeight="1">
      <x:c r="A30" s="22" t="str">
        <x:v>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10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IF(OR(D30="",G30="",H30=""),"",IF(COUNTIF($D$11:D30,D30)&gt;1,0,ROUNDUP(MAX(SUMIF($D$11:$D$87,D30,$F$11:$F$87),G30)/H30,0)*H30))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2.543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IF(OR(D31="",G31="",H31=""),"",IF(COUNTIF($D$11:D31,D31)&gt;1,0,ROUNDUP(MAX(SUMIF($D$11:$D$87,D31,$F$11:$F$87),G31)/H31,0)*H31))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C1, C3</x:v>
      </x:c>
      <x:c r="B32" s="25" t="str">
        <x:v>PD 1uF X7R 10V capacitors</x:v>
      </x:c>
      <x:c r="C32" s="25" t="str">
        <x:v>Samsung Electro-Mechanics</x:v>
      </x:c>
      <x:c r="D32" s="25" t="str">
        <x:v>CL21B105KBFNNNE</x:v>
      </x:c>
      <x:c r="E32" s="25" t="str">
        <x:v>C28323</x:v>
      </x:c>
      <x:c r="F32" s="25" t="n">
        <x:v>2</x:v>
      </x:c>
      <x:c r="G32" t="n">
        <x:v>10</x:v>
      </x:c>
      <x:c r="H32" t="n">
        <x:v>10</x:v>
      </x:c>
      <x:c r="I32" t="n">
        <x:f>IF(OR(D32="",G32="",H32=""),"",IF(COUNTIF($D$11:D32,D32)&gt;1,0,ROUNDUP(MAX(SUMIF($D$11:$D$87,D32,$F$11:$F$87),G32)/H32,0)*H32))</x:f>
        <x:v>10</x:v>
      </x:c>
      <x:c r="J32" t="n">
        <x:v>10</x:v>
      </x:c>
      <x:c r="K32" s="26" t="n">
        <x:v>0.0403</x:v>
      </x:c>
      <x:c r="L32" s="27" t="n">
        <x:f>IF(K32="","",ROUND(F32*K32,4))</x:f>
        <x:v>0.0806</x:v>
      </x:c>
      <x:c r="M32" s="27" t="n">
        <x:f>IF(OR(K32="",I32="",N32=""),"",IF(N32&gt;=I32,ROUND(I32*K32,4),""))</x:f>
        <x:v>0.403</x:v>
      </x:c>
      <x:c r="N32" t="n">
        <x:v>1363910</x:v>
      </x:c>
      <x:c r="O32" t="str">
        <x:v>Listing snapshot</x:v>
      </x:c>
      <x:c r="P32" s="16" t="n">
        <x:v>46300</x:v>
      </x:c>
      <x:c r="Q32" t="str">
        <x:v>2026-10-05</x:v>
      </x:c>
      <x:c r="R32"/>
      <x:c r="S32" t="str">
        <x:v>https://www.lcsc.com/product-detail/C28323.html</x:v>
      </x:c>
    </x:row>
    <x:row r="33" ht="36" customHeight="1">
      <x:c r="A33" s="25" t="str">
        <x:v>C2</x:v>
      </x:c>
      <x:c r="B33" s="25" t="str">
        <x:v>100nF / 50V capacitor</x:v>
      </x:c>
      <x:c r="C33" s="25" t="str">
        <x:v>Samsung Electro-Mechanics</x:v>
      </x:c>
      <x:c r="D33" s="25" t="str">
        <x:v>CL21B104KBCNNNC</x:v>
      </x:c>
      <x:c r="E33" s="25" t="str">
        <x:v>C1711</x:v>
      </x:c>
      <x:c r="F33" s="25" t="n">
        <x:v>1</x:v>
      </x:c>
      <x:c r="G33" t="n">
        <x:v>20</x:v>
      </x:c>
      <x:c r="H33" t="n">
        <x:v>20</x:v>
      </x:c>
      <x:c r="I33" t="n">
        <x:f>IF(OR(D33="",G33="",H33=""),"",IF(COUNTIF($D$11:D33,D33)&gt;1,0,ROUNDUP(MAX(SUMIF($D$11:$D$87,D33,$F$11:$F$87),G33)/H33,0)*H33))</x:f>
        <x:v>20</x:v>
      </x:c>
      <x:c r="J33" t="n">
        <x:v>20</x:v>
      </x:c>
      <x:c r="K33" s="26" t="n">
        <x:v>0.0159</x:v>
      </x:c>
      <x:c r="L33" s="27" t="n">
        <x:f>IF(K33="","",ROUND(F33*K33,4))</x:f>
        <x:v>0.0159</x:v>
      </x:c>
      <x:c r="M33" s="27" t="n">
        <x:f>IF(OR(K33="",I33="",N33=""),"",IF(N33&gt;=I33,ROUND(I33*K33,4),""))</x:f>
        <x:v>0.318</x:v>
      </x:c>
      <x:c r="N33" t="n">
        <x:v>854600</x:v>
      </x:c>
      <x:c r="O33" t="str">
        <x:v>Listing snapshot</x:v>
      </x:c>
      <x:c r="P33" s="16" t="n">
        <x:v>46300</x:v>
      </x:c>
      <x:c r="Q33" t="str">
        <x:v>2026-10-05</x:v>
      </x:c>
      <x:c r="R33"/>
      <x:c r="S33" t="str">
        <x:v>https://www.lcsc.com/product-detail/C1711.html</x:v>
      </x:c>
    </x:row>
    <x:row r="34" ht="36" customHeight="1">
      <x:c r="A34" s="25" t="str">
        <x:v>C4, C6, C180</x:v>
      </x:c>
      <x:c r="B34" s="25" t="str">
        <x:v>1uF / 50V capacitor; effective capacitance open</x:v>
      </x:c>
      <x:c r="C34" s="25" t="str">
        <x:v>Samsung Electro-Mechanics</x:v>
      </x:c>
      <x:c r="D34" s="25" t="str">
        <x:v>CL21B105KBFNNNE</x:v>
      </x:c>
      <x:c r="E34" s="25" t="str">
        <x:v>C28323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IF(OR(D34="",G34="",H34=""),"",IF(COUNTIF($D$11:D34,D34)&gt;1,0,ROUNDUP(MAX(SUMIF($D$11:$D$87,D34,$F$11:$F$87),G34)/H34,0)*H34))</x:f>
        <x:v>0</x:v>
      </x:c>
      <x:c r="J34" t="n">
        <x:v>10</x:v>
      </x:c>
      <x:c r="K34" s="26" t="n">
        <x:v>0.0403</x:v>
      </x:c>
      <x:c r="L34" s="27" t="n">
        <x:f>IF(K34="","",ROUND(F34*K34,4))</x:f>
        <x:v>0.1209</x:v>
      </x:c>
      <x:c r="M34" s="27" t="str">
        <x:f>IF(OR(K34="",I34="",N34=""),"",IF(N34&gt;=I34,ROUND(I34*K34,4),""))</x:f>
      </x:c>
      <x:c r="N34" t="n">
        <x:v>1363910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https://www.lcsc.com/product-detail/C28323.html</x:v>
      </x:c>
    </x:row>
    <x:row r="35" ht="36" customHeight="1">
      <x:c r="A35" s="25" t="str">
        <x:v>C5</x:v>
      </x:c>
      <x:c r="B35" s="25" t="str">
        <x:v>4.7uF / 50V U19 input capacitor; prove effective capacitance meets TI minimum at worst DC bias/tolerance/temp.</x:v>
      </x:c>
      <x:c r="C35" s="25" t="str">
        <x:v>Samsung Electro-Mechanics</x:v>
      </x:c>
      <x:c r="D35" s="25" t="str">
        <x:v>CL31B475KBHNNNE</x:v>
      </x:c>
      <x:c r="E35" s="25" t="str">
        <x:v>C51205</x:v>
      </x:c>
      <x:c r="F35" s="25" t="n">
        <x:v>1</x:v>
      </x:c>
      <x:c r="G35" t="n">
        <x:v>10</x:v>
      </x:c>
      <x:c r="H35" t="n">
        <x:v>10</x:v>
      </x:c>
      <x:c r="I35" t="n">
        <x:f>IF(OR(D35="",G35="",H35=""),"",IF(COUNTIF($D$11:D35,D35)&gt;1,0,ROUNDUP(MAX(SUMIF($D$11:$D$87,D35,$F$11:$F$87),G35)/H35,0)*H35))</x:f>
        <x:v>10</x:v>
      </x:c>
      <x:c r="J35" t="n">
        <x:v>10</x:v>
      </x:c>
      <x:c r="K35" s="26" t="n">
        <x:v>0.0759</x:v>
      </x:c>
      <x:c r="L35" s="27" t="n">
        <x:f>IF(K35="","",ROUND(F35*K35,4))</x:f>
        <x:v>0.0759</x:v>
      </x:c>
      <x:c r="M35" s="27" t="n">
        <x:f>IF(OR(K35="",I35="",N35=""),"",IF(N35&gt;=I35,ROUND(I35*K35,4),""))</x:f>
        <x:v>0.759</x:v>
      </x:c>
      <x:c r="N35" t="n">
        <x:v>302170</x:v>
      </x:c>
      <x:c r="O35" t="str">
        <x:v>Listing snapshot</x:v>
      </x:c>
      <x:c r="P35" s="16" t="n">
        <x:v>46300</x:v>
      </x:c>
      <x:c r="Q35" t="str">
        <x:v>2026-10-05</x:v>
      </x:c>
      <x:c r="R35"/>
      <x:c r="S35" t="str">
        <x:v>https://www.lcsc.com/product-detail/C51205.html</x:v>
      </x:c>
    </x:row>
    <x:row r="36" ht="36" customHeight="1">
      <x:c r="A36" s="25" t="str">
        <x:v>R1</x:v>
      </x:c>
      <x:c r="B36" s="25" t="str">
        <x:v>PD 470R resistor</x:v>
      </x:c>
      <x:c r="C36" s="25" t="str">
        <x:v>YAGEO</x:v>
      </x:c>
      <x:c r="D36" s="25" t="str">
        <x:v>RC0603FR-07470RL</x:v>
      </x:c>
      <x:c r="E36" s="25" t="str">
        <x:v>C114669</x:v>
      </x:c>
      <x:c r="F36" s="25" t="n">
        <x:v>1</x:v>
      </x:c>
      <x:c r="G36" t="n">
        <x:v>100</x:v>
      </x:c>
      <x:c r="H36" t="n">
        <x:v>100</x:v>
      </x:c>
      <x:c r="I36" t="n">
        <x:f>IF(OR(D36="",G36="",H36=""),"",IF(COUNTIF($D$11:D36,D36)&gt;1,0,ROUNDUP(MAX(SUMIF($D$11:$D$87,D36,$F$11:$F$87),G36)/H36,0)*H36))</x:f>
        <x:v>100</x:v>
      </x:c>
      <x:c r="J36" t="n">
        <x:v>100</x:v>
      </x:c>
      <x:c r="K36" s="26" t="n">
        <x:v>0.0025</x:v>
      </x:c>
      <x:c r="L36" s="27" t="n">
        <x:f>IF(K36="","",ROUND(F36*K36,4))</x:f>
        <x:v>0.0025</x:v>
      </x:c>
      <x:c r="M36" s="27" t="n">
        <x:f>IF(OR(K36="",I36="",N36=""),"",IF(N36&gt;=I36,ROUND(I36*K36,4),""))</x:f>
        <x:v>0.25</x:v>
      </x:c>
      <x:c r="N36" t="n">
        <x:v>1090800</x:v>
      </x:c>
      <x:c r="O36" t="str">
        <x:v>Listing snapshot</x:v>
      </x:c>
      <x:c r="P36" s="16" t="n">
        <x:v>46300</x:v>
      </x:c>
      <x:c r="Q36" t="str">
        <x:v>2026-10-05</x:v>
      </x:c>
      <x:c r="R36"/>
      <x:c r="S36" t="str">
        <x:v>https://www.lcsc.com/product-detail/C114669.html</x:v>
      </x:c>
    </x:row>
    <x:row r="37" ht="36" customHeight="1">
      <x:c r="A37" s="25" t="str">
        <x:v>R2</x:v>
      </x:c>
      <x:c r="B37" s="25" t="str">
        <x:v>1k resistor</x:v>
      </x:c>
      <x:c r="C37" s="25" t="str">
        <x:v>YAGEO</x:v>
      </x:c>
      <x:c r="D37" s="25" t="str">
        <x:v>RC0603FR-071KL</x:v>
      </x:c>
      <x:c r="E37" s="25" t="str">
        <x:v>C22548</x:v>
      </x:c>
      <x:c r="F37" s="25" t="n">
        <x:v>1</x:v>
      </x:c>
      <x:c r="G37" t="n">
        <x:v>100</x:v>
      </x:c>
      <x:c r="H37" t="n">
        <x:v>100</x:v>
      </x:c>
      <x:c r="I37" t="n">
        <x:f>IF(OR(D37="",G37="",H37=""),"",IF(COUNTIF($D$11:D37,D37)&gt;1,0,ROUNDUP(MAX(SUMIF($D$11:$D$87,D37,$F$11:$F$87),G37)/H37,0)*H37))</x:f>
        <x:v>100</x:v>
      </x:c>
      <x:c r="J37" t="n">
        <x:v>100</x:v>
      </x:c>
      <x:c r="K37" s="26" t="n">
        <x:v>0.0037</x:v>
      </x:c>
      <x:c r="L37" s="27" t="n">
        <x:f>IF(K37="","",ROUND(F37*K37,4))</x:f>
        <x:v>0.0037</x:v>
      </x:c>
      <x:c r="M37" s="27" t="n">
        <x:f>IF(OR(K37="",I37="",N37=""),"",IF(N37&gt;=I37,ROUND(I37*K37,4),""))</x:f>
        <x:v>0.37</x:v>
      </x:c>
      <x:c r="N37" t="n">
        <x:v>10309000</x:v>
      </x:c>
      <x:c r="O37" t="str">
        <x:v>Listing snapshot</x:v>
      </x:c>
      <x:c r="P37" s="16" t="n">
        <x:v>46300</x:v>
      </x:c>
      <x:c r="Q37" t="str">
        <x:v>2026-10-05</x:v>
      </x:c>
      <x:c r="R37"/>
      <x:c r="S37" t="str">
        <x:v>https://www.lcsc.com/product-detail/C22548.html</x:v>
      </x:c>
    </x:row>
    <x:row r="38" ht="36" customHeight="1">
      <x:c r="A38" s="25" t="str">
        <x:v>R6, R9</x:v>
      </x:c>
      <x:c r="B38" s="25" t="str">
        <x:v>PD 4.7k resistors</x:v>
      </x:c>
      <x:c r="C38" s="25" t="str">
        <x:v>YAGEO</x:v>
      </x:c>
      <x:c r="D38" s="25" t="str">
        <x:v>RC0603FR-074K7L</x:v>
      </x:c>
      <x:c r="E38" s="25" t="str">
        <x:v>C99782</x:v>
      </x:c>
      <x:c r="F38" s="25" t="n">
        <x:v>2</x:v>
      </x:c>
      <x:c r="G38" t="n">
        <x:v>100</x:v>
      </x:c>
      <x:c r="H38" t="n">
        <x:v>100</x:v>
      </x:c>
      <x:c r="I38" t="n">
        <x:f>IF(OR(D38="",G38="",H38=""),"",IF(COUNTIF($D$11:D38,D38)&gt;1,0,ROUNDUP(MAX(SUMIF($D$11:$D$87,D38,$F$11:$F$87),G38)/H38,0)*H38))</x:f>
        <x:v>100</x:v>
      </x:c>
      <x:c r="J38" t="n">
        <x:v>100</x:v>
      </x:c>
      <x:c r="K38" s="26" t="n">
        <x:v>0.0011</x:v>
      </x:c>
      <x:c r="L38" s="27" t="n">
        <x:f>IF(K38="","",ROUND(F38*K38,4))</x:f>
        <x:v>0.0022</x:v>
      </x:c>
      <x:c r="M38" s="27" t="n">
        <x:f>IF(OR(K38="",I38="",N38=""),"",IF(N38&gt;=I38,ROUND(I38*K38,4),""))</x:f>
        <x:v>0.11</x:v>
      </x:c>
      <x:c r="N38" t="n">
        <x:v>1575400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https://www.lcsc.com/product-detail/C99782.html</x:v>
      </x:c>
    </x:row>
    <x:row r="39" ht="36" customHeight="1">
      <x:c r="A39" s="25" t="str">
        <x:v>R10, R55</x:v>
      </x:c>
      <x:c r="B39" s="25" t="str">
        <x:v>PD 100k resistors</x:v>
      </x:c>
      <x:c r="C39" s="25" t="str">
        <x:v>YAGEO</x:v>
      </x:c>
      <x:c r="D39" s="25" t="str">
        <x:v>RC0603FR-07100KL</x:v>
      </x:c>
      <x:c r="E39" s="25" t="str">
        <x:v>C14675</x:v>
      </x:c>
      <x:c r="F39" s="25" t="n">
        <x:v>2</x:v>
      </x:c>
      <x:c r="G39" t="n">
        <x:v>100</x:v>
      </x:c>
      <x:c r="H39" t="n">
        <x:v>100</x:v>
      </x:c>
      <x:c r="I39" t="n">
        <x:f>IF(OR(D39="",G39="",H39=""),"",IF(COUNTIF($D$11:D39,D39)&gt;1,0,ROUNDUP(MAX(SUMIF($D$11:$D$87,D39,$F$11:$F$87),G39)/H39,0)*H39))</x:f>
        <x:v>100</x:v>
      </x:c>
      <x:c r="J39" t="n">
        <x:v>100</x:v>
      </x:c>
      <x:c r="K39" s="26" t="n">
        <x:v>0.0036</x:v>
      </x:c>
      <x:c r="L39" s="27" t="n">
        <x:f>IF(K39="","",ROUND(F39*K39,4))</x:f>
        <x:v>0.0072</x:v>
      </x:c>
      <x:c r="M39" s="27" t="n">
        <x:f>IF(OR(K39="",I39="",N39=""),"",IF(N39&gt;=I39,ROUND(I39*K39,4),""))</x:f>
        <x:v>0.36</x:v>
      </x:c>
      <x:c r="N39" t="n">
        <x:v>7813400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https://www.lcsc.com/product-detail/C14675.html</x:v>
      </x:c>
    </x:row>
    <x:row r="40" ht="36" customHeight="1">
      <x:c r="A40" s="25" t="str">
        <x:v>R11</x:v>
      </x:c>
      <x:c r="B40" s="25" t="str">
        <x:v>PD 22k resistor</x:v>
      </x:c>
      <x:c r="C40" s="25" t="str">
        <x:v>YAGEO</x:v>
      </x:c>
      <x:c r="D40" s="25" t="str">
        <x:v>RC0603FR-0722KL</x:v>
      </x:c>
      <x:c r="E40" s="25" t="str">
        <x:v>C114065</x:v>
      </x:c>
      <x:c r="F40" s="25" t="n">
        <x:v>1</x:v>
      </x:c>
      <x:c r="G40" t="n">
        <x:v>100</x:v>
      </x:c>
      <x:c r="H40" t="n">
        <x:v>100</x:v>
      </x:c>
      <x:c r="I40" t="n">
        <x:f>IF(OR(D40="",G40="",H40=""),"",IF(COUNTIF($D$11:D40,D40)&gt;1,0,ROUNDUP(MAX(SUMIF($D$11:$D$87,D40,$F$11:$F$87),G40)/H40,0)*H40))</x:f>
        <x:v>100</x:v>
      </x:c>
      <x:c r="J40" t="n">
        <x:v>100</x:v>
      </x:c>
      <x:c r="K40" s="26" t="n">
        <x:v>0.0017</x:v>
      </x:c>
      <x:c r="L40" s="27" t="n">
        <x:f>IF(K40="","",ROUND(F40*K40,4))</x:f>
        <x:v>0.0017</x:v>
      </x:c>
      <x:c r="M40" s="27" t="n">
        <x:f>IF(OR(K40="",I40="",N40=""),"",IF(N40&gt;=I40,ROUND(I40*K40,4),""))</x:f>
        <x:v>0.17</x:v>
      </x:c>
      <x:c r="N40" t="n">
        <x:v>644600</x:v>
      </x:c>
      <x:c r="O40" t="str">
        <x:v>Listing snapshot</x:v>
      </x:c>
      <x:c r="P40" s="16" t="n">
        <x:v>46300</x:v>
      </x:c>
      <x:c r="Q40" t="str">
        <x:v>2026-10-05</x:v>
      </x:c>
      <x:c r="R40"/>
      <x:c r="S40" t="str">
        <x:v>https://www.lcsc.com/product-detail/C114065.html</x:v>
      </x:c>
    </x:row>
    <x:row r="41" ht="36" customHeight="1">
      <x:c r="A41" s="25" t="str">
        <x:v>R13</x:v>
      </x:c>
      <x:c r="B41" s="25" t="str">
        <x:v>PD 100R resistor</x:v>
      </x:c>
      <x:c r="C41" s="25" t="str">
        <x:v>YAGEO</x:v>
      </x:c>
      <x:c r="D41" s="25" t="str">
        <x:v>RC0603FR-07100RL</x:v>
      </x:c>
      <x:c r="E41" s="25" t="str">
        <x:v>C105588</x:v>
      </x:c>
      <x:c r="F41" s="25" t="n">
        <x:v>1</x:v>
      </x:c>
      <x:c r="G41" t="n">
        <x:v>100</x:v>
      </x:c>
      <x:c r="H41" t="n">
        <x:v>100</x:v>
      </x:c>
      <x:c r="I41" t="n">
        <x:f>IF(OR(D41="",G41="",H41=""),"",IF(COUNTIF($D$11:D41,D41)&gt;1,0,ROUNDUP(MAX(SUMIF($D$11:$D$87,D41,$F$11:$F$87),G41)/H41,0)*H41))</x:f>
        <x:v>100</x:v>
      </x:c>
      <x:c r="J41" t="n">
        <x:v>100</x:v>
      </x:c>
      <x:c r="K41" s="26" t="n">
        <x:v>0.0024</x:v>
      </x:c>
      <x:c r="L41" s="27" t="n">
        <x:f>IF(K41="","",ROUND(F41*K41,4))</x:f>
        <x:v>0.0024</x:v>
      </x:c>
      <x:c r="M41" s="27" t="n">
        <x:f>IF(OR(K41="",I41="",N41=""),"",IF(N41&gt;=I41,ROUND(I41*K41,4),""))</x:f>
        <x:v>0.24</x:v>
      </x:c>
      <x:c r="N41" t="n">
        <x:v>2943700</x:v>
      </x:c>
      <x:c r="O41" t="str">
        <x:v>Listing snapshot</x:v>
      </x:c>
      <x:c r="P41" s="16" t="n">
        <x:v>46300</x:v>
      </x:c>
      <x:c r="Q41" t="str">
        <x:v>2026-10-05</x:v>
      </x:c>
      <x:c r="R41"/>
      <x:c r="S41" t="str">
        <x:v>https://www.lcsc.com/product-detail/C105588.html</x:v>
      </x:c>
    </x:row>
    <x:row r="42" ht="36" customHeight="1">
      <x:c r="A42" s="25" t="str">
        <x:v>D4</x:v>
      </x:c>
      <x:c r="B42" s="25" t="str">
        <x:v>PD support diode; 1N4148W type</x:v>
      </x:c>
      <x:c r="C42" s="25" t="str">
        <x:v>Diodes Incorporated</x:v>
      </x:c>
      <x:c r="D42" s="25" t="str">
        <x:v>1N4148W-7-F</x:v>
      </x:c>
      <x:c r="E42" s="25" t="str">
        <x:v>C83528</x:v>
      </x:c>
      <x:c r="F42" s="25" t="n">
        <x:v>1</x:v>
      </x:c>
      <x:c r="G42" t="n">
        <x:v>20</x:v>
      </x:c>
      <x:c r="H42" t="n">
        <x:v>20</x:v>
      </x:c>
      <x:c r="I42" t="n">
        <x:f>IF(OR(D42="",G42="",H42=""),"",IF(COUNTIF($D$11:D42,D42)&gt;1,0,ROUNDUP(MAX(SUMIF($D$11:$D$87,D42,$F$11:$F$87),G42)/H42,0)*H42))</x:f>
        <x:v>20</x:v>
      </x:c>
      <x:c r="J42" t="n">
        <x:v>20</x:v>
      </x:c>
      <x:c r="K42" s="26" t="n">
        <x:v>0.0293</x:v>
      </x:c>
      <x:c r="L42" s="27" t="n">
        <x:f>IF(K42="","",ROUND(F42*K42,4))</x:f>
        <x:v>0.0293</x:v>
      </x:c>
      <x:c r="M42" s="27" t="n">
        <x:f>IF(OR(K42="",I42="",N42=""),"",IF(N42&gt;=I42,ROUND(I42*K42,4),""))</x:f>
        <x:v>0.586</x:v>
      </x:c>
      <x:c r="N42" t="n">
        <x:v>231360</x:v>
      </x:c>
      <x:c r="O42" t="str">
        <x:v>Listing snapshot</x:v>
      </x:c>
      <x:c r="P42" s="16" t="n">
        <x:v>46300</x:v>
      </x:c>
      <x:c r="Q42" t="str">
        <x:v>2026-10-05</x:v>
      </x:c>
      <x:c r="R42" t="str">
        <x:v>In stock 231,360; $0.0293 at MOQ 20. Datasheet: 100V VRRM, SOD-123, 300mA, low leakage.</x:v>
      </x:c>
      <x:c r="S42" t="str">
        <x:v>https://www.lcsc.com/product-detail/C83528.html</x:v>
      </x:c>
    </x:row>
    <x:row r="43" ht="36" customHeight="1">
      <x:c r="A43" s="25" t="str">
        <x:v>J4</x:v>
      </x:c>
      <x:c r="B43" s="25" t="str">
        <x:v>PD I2C service header</x:v>
      </x:c>
      <x:c r="C43" s="25"/>
      <x:c r="D43" s="25"/>
      <x:c r="E43" s="25"/>
      <x:c r="F43" s="25" t="n">
        <x:v>1</x:v>
      </x:c>
      <x:c r="G43"/>
      <x:c r="H43"/>
      <x:c r="I43" t="str">
        <x:f>IF(OR(D43="",G43="",H43=""),"",IF(COUNTIF($D$11:D43,D43)&gt;1,0,ROUNDUP(MAX(SUMIF($D$11:$D$87,D43,$F$11:$F$87),G43)/H43,0)*H43))</x:f>
      </x:c>
      <x:c r="J43"/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MPN open</x:v>
      </x:c>
      <x:c r="P43" s="16"/>
      <x:c r="Q43"/>
      <x:c r="R43"/>
      <x:c r="S43"/>
    </x:row>
    <x:row r="44" ht="36" customHeight="1">
      <x:c r="A44" s="25" t="str">
        <x:v>C100</x:v>
      </x:c>
      <x:c r="B44" s="25" t="str">
        <x:v>Charger 2.2uF / 25V capacitor</x:v>
      </x:c>
      <x:c r="C44" s="25" t="str">
        <x:v>Samsung Electro-Mechanics</x:v>
      </x:c>
      <x:c r="D44" s="25" t="str">
        <x:v>CL21B225KBYNNNE</x:v>
      </x:c>
      <x:c r="E44" s="25" t="str">
        <x:v>C2762602</x:v>
      </x:c>
      <x:c r="F44" s="25" t="n">
        <x:v>1</x:v>
      </x:c>
      <x:c r="G44" t="n">
        <x:v>5</x:v>
      </x:c>
      <x:c r="H44" t="n">
        <x:v>5</x:v>
      </x:c>
      <x:c r="I44" t="n">
        <x:f>IF(OR(D44="",G44="",H44=""),"",IF(COUNTIF($D$11:D44,D44)&gt;1,0,ROUNDUP(MAX(SUMIF($D$11:$D$87,D44,$F$11:$F$87),G44)/H44,0)*H44))</x:f>
        <x:v>5</x:v>
      </x:c>
      <x:c r="J44" t="n">
        <x:v>5</x:v>
      </x:c>
      <x:c r="K44" s="26" t="n">
        <x:v>0.1052</x:v>
      </x:c>
      <x:c r="L44" s="27" t="n">
        <x:f>IF(K44="","",ROUND(F44*K44,4))</x:f>
        <x:v>0.1052</x:v>
      </x:c>
      <x:c r="M44" s="27" t="n">
        <x:f>IF(OR(K44="",I44="",N44=""),"",IF(N44&gt;=I44,ROUND(I44*K44,4),""))</x:f>
        <x:v>0.526</x:v>
      </x:c>
      <x:c r="N44" t="n">
        <x:v>73810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https://www.lcsc.com/product-detail/C2762602.html</x:v>
      </x:c>
    </x:row>
    <x:row r="45" ht="36" customHeight="1">
      <x:c r="A45" s="25" t="str">
        <x:v>C101</x:v>
      </x:c>
      <x:c r="B45" s="25" t="str">
        <x:v>Charger PMID 22uF / 25V capacitor</x:v>
      </x:c>
      <x:c r="C45" s="25" t="str">
        <x:v>Samsung Electro-Mechanics</x:v>
      </x:c>
      <x:c r="D45" s="25" t="str">
        <x:v>CL32B226KAJNNNE</x:v>
      </x:c>
      <x:c r="E45" s="25" t="str">
        <x:v>C309062</x:v>
      </x:c>
      <x:c r="F45" s="25" t="n">
        <x:v>1</x:v>
      </x:c>
      <x:c r="G45" t="n">
        <x:v>1</x:v>
      </x:c>
      <x:c r="H45" t="n">
        <x:v>1</x:v>
      </x:c>
      <x:c r="I45" t="n">
        <x:f>IF(OR(D45="",G45="",H45=""),"",IF(COUNTIF($D$11:D45,D45)&gt;1,0,ROUNDUP(MAX(SUMIF($D$11:$D$87,D45,$F$11:$F$87),G45)/H45,0)*H45))</x:f>
        <x:v>2</x:v>
      </x:c>
      <x:c r="J45" t="n">
        <x:v>1</x:v>
      </x:c>
      <x:c r="K45" s="26" t="n">
        <x:v>0.3569</x:v>
      </x:c>
      <x:c r="L45" s="27" t="n">
        <x:f>IF(K45="","",ROUND(F45*K45,4))</x:f>
        <x:v>0.3569</x:v>
      </x:c>
      <x:c r="M45" s="27" t="n">
        <x:f>IF(OR(K45="",I45="",N45=""),"",IF(N45&gt;=I45,ROUND(I45*K45,4),""))</x:f>
        <x:v>0.7138</x:v>
      </x:c>
      <x:c r="N45" t="n">
        <x:v>96346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https://www.lcsc.com/product-detail/C309062.html</x:v>
      </x:c>
    </x:row>
    <x:row r="46" ht="36" customHeight="1">
      <x:c r="A46" s="25" t="str">
        <x:v>C102</x:v>
      </x:c>
      <x:c r="B46" s="25" t="str">
        <x:v>Charger 10uF / 10V capacitor</x:v>
      </x:c>
      <x:c r="C46" s="25" t="str">
        <x:v>Samsung Electro-Mechanics</x:v>
      </x:c>
      <x:c r="D46" s="25" t="str">
        <x:v>CL21B106KPQNNNE</x:v>
      </x:c>
      <x:c r="E46" s="25" t="str">
        <x:v>C32635</x:v>
      </x:c>
      <x:c r="F46" s="25" t="n">
        <x:v>1</x:v>
      </x:c>
      <x:c r="G46" t="n">
        <x:v>10</x:v>
      </x:c>
      <x:c r="H46" t="n">
        <x:v>10</x:v>
      </x:c>
      <x:c r="I46" t="n">
        <x:f>IF(OR(D46="",G46="",H46=""),"",IF(COUNTIF($D$11:D46,D46)&gt;1,0,ROUNDUP(MAX(SUMIF($D$11:$D$87,D46,$F$11:$F$87),G46)/H46,0)*H46))</x:f>
        <x:v>10</x:v>
      </x:c>
      <x:c r="J46" t="n">
        <x:v>10</x:v>
      </x:c>
      <x:c r="K46" s="26" t="n">
        <x:v>0.093</x:v>
      </x:c>
      <x:c r="L46" s="27" t="n">
        <x:f>IF(K46="","",ROUND(F46*K46,4))</x:f>
        <x:v>0.093</x:v>
      </x:c>
      <x:c r="M46" s="27" t="n">
        <x:f>IF(OR(K46="",I46="",N46=""),"",IF(N46&gt;=I46,ROUND(I46*K46,4),""))</x:f>
        <x:v>0.93</x:v>
      </x:c>
      <x:c r="N46" t="n">
        <x:v>230700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https://www.lcsc.com/product-detail/C32635.html</x:v>
      </x:c>
    </x:row>
    <x:row r="47" ht="36" customHeight="1">
      <x:c r="A47" s="25" t="str">
        <x:v>C103</x:v>
      </x:c>
      <x:c r="B47" s="25" t="str">
        <x:v>Charger 47nF X7R / 10V minimum bootstrap capacitor</x:v>
      </x:c>
      <x:c r="C47" s="25" t="str">
        <x:v>YAGEO</x:v>
      </x:c>
      <x:c r="D47" s="25" t="str">
        <x:v>CC0603KRX7R9BB473</x:v>
      </x:c>
      <x:c r="E47" s="25" t="str">
        <x:v>C107093</x:v>
      </x:c>
      <x:c r="F47" s="25" t="n">
        <x:v>1</x:v>
      </x:c>
      <x:c r="G47" t="n">
        <x:v>50</x:v>
      </x:c>
      <x:c r="H47" t="n">
        <x:v>50</x:v>
      </x:c>
      <x:c r="I47" t="n">
        <x:f>IF(OR(D47="",G47="",H47=""),"",IF(COUNTIF($D$11:D47,D47)&gt;1,0,ROUNDUP(MAX(SUMIF($D$11:$D$87,D47,$F$11:$F$87),G47)/H47,0)*H47))</x:f>
        <x:v>50</x:v>
      </x:c>
      <x:c r="J47" t="n">
        <x:v>50</x:v>
      </x:c>
      <x:c r="K47" s="26" t="n">
        <x:v>0.0077</x:v>
      </x:c>
      <x:c r="L47" s="27" t="n">
        <x:f>IF(K47="","",ROUND(F47*K47,4))</x:f>
        <x:v>0.0077</x:v>
      </x:c>
      <x:c r="M47" s="27" t="n">
        <x:f>IF(OR(K47="",I47="",N47=""),"",IF(N47&gt;=I47,ROUND(I47*K47,4),""))</x:f>
        <x:v>0.385</x:v>
      </x:c>
      <x:c r="N47" t="n">
        <x:v>1537650</x:v>
      </x:c>
      <x:c r="O47" t="str">
        <x:v>Listing snapshot</x:v>
      </x:c>
      <x:c r="P47" s="16" t="n">
        <x:v>46300</x:v>
      </x:c>
      <x:c r="Q47" t="str">
        <x:v>2026-10-05</x:v>
      </x:c>
      <x:c r="R47" t="str">
        <x:v>In stock 1,537,650; $0.0077 at MOQ 50. Exact 47nF 50V X7R ±10%, 0603. Datasheet has no guaranteed DC-bias curve.</x:v>
      </x:c>
      <x:c r="S47" t="str">
        <x:v>https://www.lcsc.com/product-detail/Multilayer-Ceramic-Capacitors-MLCC-SMD-SMT_YAGEO-CC0603KRX7R9BB473_C107093.html</x:v>
      </x:c>
    </x:row>
    <x:row r="48" ht="36" customHeight="1">
      <x:c r="A48" s="25" t="str">
        <x:v>C106</x:v>
      </x:c>
      <x:c r="B48" s="25" t="str">
        <x:v>Charger BAT 22uF / 10V capacitor</x:v>
      </x:c>
      <x:c r="C48" s="25" t="str">
        <x:v>Murata</x:v>
      </x:c>
      <x:c r="D48" s="25" t="str">
        <x:v>GRM21BZ71A226ME15L</x:v>
      </x:c>
      <x:c r="E48" s="25" t="str">
        <x:v>C907991</x:v>
      </x:c>
      <x:c r="F48" s="25" t="n">
        <x:v>1</x:v>
      </x:c>
      <x:c r="G48" t="n">
        <x:v>5</x:v>
      </x:c>
      <x:c r="H48" t="n">
        <x:v>5</x:v>
      </x:c>
      <x:c r="I48" t="n">
        <x:f>IF(OR(D48="",G48="",H48=""),"",IF(COUNTIF($D$11:D48,D48)&gt;1,0,ROUNDUP(MAX(SUMIF($D$11:$D$87,D48,$F$11:$F$87),G48)/H48,0)*H48))</x:f>
        <x:v>0</x:v>
      </x:c>
      <x:c r="J48" t="n">
        <x:v>5</x:v>
      </x:c>
      <x:c r="K48" s="26" t="n">
        <x:v>0.2543</x:v>
      </x:c>
      <x:c r="L48" s="27" t="n">
        <x:f>IF(K48="","",ROUND(F48*K48,4))</x:f>
        <x:v>0.2543</x:v>
      </x:c>
      <x:c r="M48" s="27" t="str">
        <x:f>IF(OR(K48="",I48="",N48=""),"",IF(N48&gt;=I48,ROUND(I48*K48,4),""))</x:f>
      </x:c>
      <x:c r="N48" t="n">
        <x:v>146915</x:v>
      </x:c>
      <x:c r="O48" t="str">
        <x:v>Selected; price/stock open</x:v>
      </x:c>
      <x:c r="P48" s="16" t="n">
        <x:v>46300</x:v>
      </x:c>
      <x:c r="Q48" t="str">
        <x:v>2026-10-05</x:v>
      </x:c>
      <x:c r="R48"/>
      <x:c r="S48" t="str">
        <x:v>https://www.lcsc.com/product-detail/C907991.html</x:v>
      </x:c>
    </x:row>
    <x:row r="49" ht="36" customHeight="1">
      <x:c r="A49" s="25" t="str">
        <x:v>R100</x:v>
      </x:c>
      <x:c r="B49" s="25" t="str">
        <x:v>Charger 5.23k resistor</x:v>
      </x:c>
      <x:c r="C49" s="25" t="str">
        <x:v>SAE</x:v>
      </x:c>
      <x:c r="D49" s="25" t="str">
        <x:v>1RC0603F5231</x:v>
      </x:c>
      <x:c r="E49" s="25" t="str">
        <x:v>C54531489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IF(OR(D49="",G49="",H49=""),"",IF(COUNTIF($D$11:D49,D49)&gt;1,0,ROUNDUP(MAX(SUMIF($D$11:$D$87,D49,$F$11:$F$87),G49)/H49,0)*H49))</x:f>
        <x:v>100</x:v>
      </x:c>
      <x:c r="J49" t="n">
        <x:v>100</x:v>
      </x:c>
      <x:c r="K49" s="26" t="n">
        <x:v>0.002</x:v>
      </x:c>
      <x:c r="L49" s="27" t="n">
        <x:f>IF(K49="","",ROUND(F49*K49,4))</x:f>
        <x:v>0.002</x:v>
      </x:c>
      <x:c r="M49" s="27" t="n">
        <x:f>IF(OR(K49="",I49="",N49=""),"",IF(N49&gt;=I49,ROUND(I49*K49,4),""))</x:f>
        <x:v>0.2</x:v>
      </x:c>
      <x:c r="N49" t="n">
        <x:v>9900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https://www.lcsc.com/product-detail/C54531489.html</x:v>
      </x:c>
    </x:row>
    <x:row r="50" ht="36" customHeight="1">
      <x:c r="A50" s="25" t="str">
        <x:v>R101</x:v>
      </x:c>
      <x:c r="B50" s="25" t="str">
        <x:v>Charger 30.1k resistor</x:v>
      </x:c>
      <x:c r="C50" s="25" t="str">
        <x:v>SAE</x:v>
      </x:c>
      <x:c r="D50" s="25" t="str">
        <x:v>1RC0603F3012</x:v>
      </x:c>
      <x:c r="E50" s="25" t="str">
        <x:v>C54531365</x:v>
      </x:c>
      <x:c r="F50" s="25" t="n">
        <x:v>1</x:v>
      </x:c>
      <x:c r="G50" t="n">
        <x:v>100</x:v>
      </x:c>
      <x:c r="H50" t="n">
        <x:v>100</x:v>
      </x:c>
      <x:c r="I50" t="n">
        <x:f>IF(OR(D50="",G50="",H50=""),"",IF(COUNTIF($D$11:D50,D50)&gt;1,0,ROUNDUP(MAX(SUMIF($D$11:$D$87,D50,$F$11:$F$87),G50)/H50,0)*H50))</x:f>
        <x:v>100</x:v>
      </x:c>
      <x:c r="J50" t="n">
        <x:v>100</x:v>
      </x:c>
      <x:c r="K50" s="26" t="n">
        <x:v>0.002</x:v>
      </x:c>
      <x:c r="L50" s="27" t="n">
        <x:f>IF(K50="","",ROUND(F50*K50,4))</x:f>
        <x:v>0.002</x:v>
      </x:c>
      <x:c r="M50" s="27" t="n">
        <x:f>IF(OR(K50="",I50="",N50=""),"",IF(N50&gt;=I50,ROUND(I50*K50,4),""))</x:f>
        <x:v>0.2</x:v>
      </x:c>
      <x:c r="N50" t="n">
        <x:v>3700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https://www.lcsc.com/product-detail/C54531365.html</x:v>
      </x:c>
    </x:row>
    <x:row r="51" ht="36" customHeight="1">
      <x:c r="A51" s="25" t="str">
        <x:v>R102</x:v>
      </x:c>
      <x:c r="B51" s="25" t="str">
        <x:v>Charger 220R ILIM resistor</x:v>
      </x:c>
      <x:c r="C51" s="25" t="str">
        <x:v>YAGEO</x:v>
      </x:c>
      <x:c r="D51" s="25" t="str">
        <x:v>RC0603FR-07220RL</x:v>
      </x:c>
      <x:c r="E51" s="25" t="str">
        <x:v>C107696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IF(OR(D51="",G51="",H51=""),"",IF(COUNTIF($D$11:D51,D51)&gt;1,0,ROUNDUP(MAX(SUMIF($D$11:$D$87,D51,$F$11:$F$87),G51)/H51,0)*H51))</x:f>
        <x:v>100</x:v>
      </x:c>
      <x:c r="J51" t="n">
        <x:v>100</x:v>
      </x:c>
      <x:c r="K51" s="26" t="n">
        <x:v>0.0012</x:v>
      </x:c>
      <x:c r="L51" s="27" t="n">
        <x:f>IF(K51="","",ROUND(F51*K51,4))</x:f>
        <x:v>0.0012</x:v>
      </x:c>
      <x:c r="M51" s="27" t="n">
        <x:f>IF(OR(K51="",I51="",N51=""),"",IF(N51&gt;=I51,ROUND(I51*K51,4),""))</x:f>
        <x:v>0.12</x:v>
      </x:c>
      <x:c r="N51" t="n">
        <x:v>484600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https://www.lcsc.com/product-detail/C107696.html</x:v>
      </x:c>
    </x:row>
    <x:row r="52" ht="36" customHeight="1">
      <x:c r="A52" s="25" t="str">
        <x:v>R103, R106</x:v>
      </x:c>
      <x:c r="B52" s="25" t="str">
        <x:v>Charger 10k resistors</x:v>
      </x:c>
      <x:c r="C52" s="25" t="str">
        <x:v>YAGEO</x:v>
      </x:c>
      <x:c r="D52" s="25" t="str">
        <x:v>RC0603FR-0710KL</x:v>
      </x:c>
      <x:c r="E52" s="25" t="str">
        <x:v>C98220</x:v>
      </x:c>
      <x:c r="F52" s="25" t="n">
        <x:v>2</x:v>
      </x:c>
      <x:c r="G52" t="n">
        <x:v>100</x:v>
      </x:c>
      <x:c r="H52" t="n">
        <x:v>100</x:v>
      </x:c>
      <x:c r="I52" t="n">
        <x:f>IF(OR(D52="",G52="",H52=""),"",IF(COUNTIF($D$11:D52,D52)&gt;1,0,ROUNDUP(MAX(SUMIF($D$11:$D$87,D52,$F$11:$F$87),G52)/H52,0)*H52))</x:f>
        <x:v>100</x:v>
      </x:c>
      <x:c r="J52" t="n">
        <x:v>100</x:v>
      </x:c>
      <x:c r="K52" s="26" t="n">
        <x:v>0.0035</x:v>
      </x:c>
      <x:c r="L52" s="27" t="n">
        <x:f>IF(K52="","",ROUND(F52*K52,4))</x:f>
        <x:v>0.007</x:v>
      </x:c>
      <x:c r="M52" s="27" t="n">
        <x:f>IF(OR(K52="",I52="",N52=""),"",IF(N52&gt;=I52,ROUND(I52*K52,4),""))</x:f>
        <x:v>0.35</x:v>
      </x:c>
      <x:c r="N52" t="n">
        <x:v>11102500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https://www.lcsc.com/product-detail/C98220.html</x:v>
      </x:c>
    </x:row>
    <x:row r="53" ht="36" customHeight="1">
      <x:c r="A53" s="25" t="str">
        <x:v>R107</x:v>
      </x:c>
      <x:c r="B53" s="25" t="str">
        <x:v>Charger 100k resistor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1</x:v>
      </x:c>
      <x:c r="G53" t="n">
        <x:v>100</x:v>
      </x:c>
      <x:c r="H53" t="n">
        <x:v>100</x:v>
      </x:c>
      <x:c r="I53" t="n">
        <x:f>IF(OR(D53="",G53="",H53=""),"",IF(COUNTIF($D$11:D53,D53)&gt;1,0,ROUNDUP(MAX(SUMIF($D$11:$D$87,D53,$F$11:$F$87),G53)/H53,0)*H53))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0.0036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IF(OR(D54="",G54="",H54=""),"",IF(COUNTIF($D$11:D54,D54)&gt;1,0,ROUNDUP(MAX(SUMIF($D$11:$D$87,D54,$F$11:$F$87),G54)/H54,0)*H54))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IF(OR(D55="",G55="",H55=""),"",IF(COUNTIF($D$11:D55,D55)&gt;1,0,ROUNDUP(MAX(SUMIF($D$11:$D$87,D55,$F$11:$F$87),G55)/H55,0)*H55))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IF(OR(D56="",G56="",H56=""),"",IF(COUNTIF($D$11:D56,D56)&gt;1,0,ROUNDUP(MAX(SUMIF($D$11:$D$87,D56,$F$11:$F$87),G56)/H56,0)*H56))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IF(OR(D57="",G57="",H57=""),"",IF(COUNTIF($D$11:D57,D57)&gt;1,0,ROUNDUP(MAX(SUMIF($D$11:$D$87,D57,$F$11:$F$87),G57)/H57,0)*H57))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8</x:v>
      </x:c>
      <x:c r="G58" t="n">
        <x:v>100</x:v>
      </x:c>
      <x:c r="H58" t="n">
        <x:v>100</x:v>
      </x:c>
      <x:c r="I58" t="n">
        <x:f>IF(OR(D58="",G58="",H58=""),"",IF(COUNTIF($D$11:D58,D58)&gt;1,0,ROUNDUP(MAX(SUMIF($D$11:$D$87,D58,$F$11:$F$87),G58)/H58,0)*H58))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0.0888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IF(OR(D59="",G59="",H59=""),"",IF(COUNTIF($D$11:D59,D59)&gt;1,0,ROUNDUP(MAX(SUMIF($D$11:$D$87,D59,$F$11:$F$87),G59)/H59,0)*H59))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IF(OR(D60="",G60="",H60=""),"",IF(COUNTIF($D$11:D60,D60)&gt;1,0,ROUNDUP(MAX(SUMIF($D$11:$D$87,D60,$F$11:$F$87),G60)/H60,0)*H60))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IF(OR(D61="",G61="",H61=""),"",IF(COUNTIF($D$11:D61,D61)&gt;1,0,ROUNDUP(MAX(SUMIF($D$11:$D$87,D61,$F$11:$F$87),G61)/H61,0)*H61))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IF(OR(D62="",G62="",H62=""),"",IF(COUNTIF($D$11:D62,D62)&gt;1,0,ROUNDUP(MAX(SUMIF($D$11:$D$87,D62,$F$11:$F$87),G62)/H62,0)*H62))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IF(OR(D63="",G63="",H63=""),"",IF(COUNTIF($D$11:D63,D63)&gt;1,0,ROUNDUP(MAX(SUMIF($D$11:$D$87,D63,$F$11:$F$87),G63)/H63,0)*H63))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IF(OR(D64="",G64="",H64=""),"",IF(COUNTIF($D$11:D64,D64)&gt;1,0,ROUNDUP(MAX(SUMIF($D$11:$D$87,D64,$F$11:$F$87),G64)/H64,0)*H64))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U18</x:v>
      </x:c>
      <x:c r="B65" s="25" t="str">
        <x:v>USB input hardware overvoltage cutoff</x:v>
      </x:c>
      <x:c r="C65" s="25" t="str">
        <x:v>TI</x:v>
      </x:c>
      <x:c r="D65" s="25" t="str">
        <x:v>TPS26600PWPR</x:v>
      </x:c>
      <x:c r="E65" s="25" t="str">
        <x:v>C544399</x:v>
      </x:c>
      <x:c r="F65" s="25" t="n">
        <x:v>1</x:v>
      </x:c>
      <x:c r="G65" t="n">
        <x:v>1</x:v>
      </x:c>
      <x:c r="H65" t="n">
        <x:v>1</x:v>
      </x:c>
      <x:c r="I65" t="n">
        <x:f>IF(OR(D65="",G65="",H65=""),"",IF(COUNTIF($D$11:D65,D65)&gt;1,0,ROUNDUP(MAX(SUMIF($D$11:$D$87,D65,$F$11:$F$87),G65)/H65,0)*H65))</x:f>
        <x:v>1</x:v>
      </x:c>
      <x:c r="J65" t="n">
        <x:v>1</x:v>
      </x:c>
      <x:c r="K65" s="26" t="n">
        <x:v>1.6339</x:v>
      </x:c>
      <x:c r="L65" s="27" t="n">
        <x:f>IF(K65="","",ROUND(F65*K65,4))</x:f>
        <x:v>1.6339</x:v>
      </x:c>
      <x:c r="M65" s="27" t="n">
        <x:f>IF(OR(K65="",I65="",N65=""),"",IF(N65&gt;=I65,ROUND(I65*K65,4),""))</x:f>
        <x:v>1.6339</x:v>
      </x:c>
      <x:c r="N65" t="n">
        <x:v>4931</x:v>
      </x:c>
      <x:c r="O65" t="str">
        <x:v>Listing snapshot</x:v>
      </x:c>
      <x:c r="P65" s="16" t="n">
        <x:v>46299</x:v>
      </x:c>
      <x:c r="Q65" t="str">
        <x:v>2026-10-04</x:v>
      </x:c>
      <x:c r="R65"/>
      <x:c r="S65" t="str">
        <x:v>https://www.lcsc.com/product-detail/C544399.html</x:v>
      </x:c>
    </x:row>
    <x:row r="66" ht="36" customHeight="1">
      <x:c r="A66" s="25" t="str">
        <x:v>D7, D9</x:v>
      </x:c>
      <x:c r="B66" s="25" t="str">
        <x:v>PMOS gate 12V clamp</x:v>
      </x:c>
      <x:c r="C66" s="25" t="str">
        <x:v>Diodes Incorporated</x:v>
      </x:c>
      <x:c r="D66" s="25" t="str">
        <x:v>BZT52C12-7-F</x:v>
      </x:c>
      <x:c r="E66" s="25" t="str">
        <x:v>C124196</x:v>
      </x:c>
      <x:c r="F66" s="25" t="n">
        <x:v>2</x:v>
      </x:c>
      <x:c r="G66" t="n">
        <x:v>10</x:v>
      </x:c>
      <x:c r="H66" t="n">
        <x:v>10</x:v>
      </x:c>
      <x:c r="I66" t="n">
        <x:f>IF(OR(D66="",G66="",H66=""),"",IF(COUNTIF($D$11:D66,D66)&gt;1,0,ROUNDUP(MAX(SUMIF($D$11:$D$87,D66,$F$11:$F$87),G66)/H66,0)*H66))</x:f>
        <x:v>10</x:v>
      </x:c>
      <x:c r="J66" t="n">
        <x:v>10</x:v>
      </x:c>
      <x:c r="K66" s="26" t="n">
        <x:v>0.0771</x:v>
      </x:c>
      <x:c r="L66" s="27" t="n">
        <x:f>IF(K66="","",ROUND(F66*K66,4))</x:f>
        <x:v>0.1542</x:v>
      </x:c>
      <x:c r="M66" s="27" t="n">
        <x:f>IF(OR(K66="",I66="",N66=""),"",IF(N66&gt;=I66,ROUND(I66*K66,4),""))</x:f>
        <x:v>0.771</x:v>
      </x:c>
      <x:c r="N66" t="n">
        <x:v>26150</x:v>
      </x:c>
      <x:c r="O66" t="str">
        <x:v>Listing snapshot</x:v>
      </x:c>
      <x:c r="P66" s="16" t="n">
        <x:v>46299</x:v>
      </x:c>
      <x:c r="Q66" t="str">
        <x:v>2026-10-04</x:v>
      </x:c>
      <x:c r="R66" t="str">
        <x:v>D7 and D9 use the same clamp; retained the existing 2026-10-04 listing snapshot price and MOQ.</x:v>
      </x:c>
      <x:c r="S66" t="str">
        <x:v>https://www.lcsc.com/product-detail/C124196.html</x:v>
      </x:c>
    </x:row>
    <x:row r="67" ht="36" customHeight="1">
      <x:c r="A67" s="25" t="str">
        <x:v>D8</x:v>
      </x:c>
      <x:c r="B67" s="25" t="str">
        <x:v>Protected VBUS clamp; manufacturer-specific</x:v>
      </x:c>
      <x:c r="C67" s="25" t="str">
        <x:v>Taiwan Semiconductor</x:v>
      </x:c>
      <x:c r="D67" s="25" t="str">
        <x:v>SMA6J10A M2G</x:v>
      </x:c>
      <x:c r="E67" s="25" t="str">
        <x:v>C2444429</x:v>
      </x:c>
      <x:c r="F67" s="25" t="n">
        <x:v>1</x:v>
      </x:c>
      <x:c r="G67"/>
      <x:c r="H67"/>
      <x:c r="I67" t="str">
        <x:f>IF(OR(D67="",G67="",H67=""),"",IF(COUNTIF($D$11:D67,D67)&gt;1,0,ROUNDUP(MAX(SUMIF($D$11:$D$87,D67,$F$11:$F$87),G67)/H67,0)*H67))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Stock/price unverified</x:v>
      </x:c>
      <x:c r="P67" s="16"/>
      <x:c r="Q67"/>
      <x:c r="R67"/>
      <x:c r="S67" t="str">
        <x:v>https://www.lcsc.com/product-detail/C2444429.html</x:v>
      </x:c>
    </x:row>
    <x:row r="68" ht="36" customHeight="1">
      <x:c r="A68" s="25" t="str">
        <x:v>C10</x:v>
      </x:c>
      <x:c r="B68" s="25" t="str">
        <x:v>100nF / 25V capacitor</x:v>
      </x:c>
      <x:c r="C68" s="25" t="str">
        <x:v>Samsung Electro-Mechanics</x:v>
      </x:c>
      <x:c r="D68" s="25" t="str">
        <x:v>CL21B104KBCNNNC</x:v>
      </x:c>
      <x:c r="E68" s="25" t="str">
        <x:v>C1711</x:v>
      </x:c>
      <x:c r="F68" s="25" t="n">
        <x:v>1</x:v>
      </x:c>
      <x:c r="G68" t="n">
        <x:v>20</x:v>
      </x:c>
      <x:c r="H68" t="n">
        <x:v>20</x:v>
      </x:c>
      <x:c r="I68" t="n">
        <x:f>IF(OR(D68="",G68="",H68=""),"",IF(COUNTIF($D$11:D68,D68)&gt;1,0,ROUNDUP(MAX(SUMIF($D$11:$D$87,D68,$F$11:$F$87),G68)/H68,0)*H68))</x:f>
        <x:v>0</x:v>
      </x:c>
      <x:c r="J68" t="n">
        <x:v>20</x:v>
      </x:c>
      <x:c r="K68" s="26" t="n">
        <x:v>0.0159</x:v>
      </x:c>
      <x:c r="L68" s="27" t="n">
        <x:f>IF(K68="","",ROUND(F68*K68,4))</x:f>
        <x:v>0.0159</x:v>
      </x:c>
      <x:c r="M68" s="27" t="str">
        <x:f>IF(OR(K68="",I68="",N68=""),"",IF(N68&gt;=I68,ROUND(I68*K68,4),""))</x:f>
      </x:c>
      <x:c r="N68" t="n">
        <x:v>854600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https://www.lcsc.com/product-detail/C1711.html</x:v>
      </x:c>
    </x:row>
    <x:row r="69" ht="36" customHeight="1">
      <x:c r="A69" s="25" t="str">
        <x:v>R4</x:v>
      </x:c>
      <x:c r="B69" s="25" t="str">
        <x:v>3.3k1206 discharge resistor; thermal/pulse qualification open</x:v>
      </x:c>
      <x:c r="C69" s="25" t="str">
        <x:v>YAGEO</x:v>
      </x:c>
      <x:c r="D69" s="25" t="str">
        <x:v>RC1206FR-073K3L</x:v>
      </x:c>
      <x:c r="E69" s="25" t="str">
        <x:v>C137292</x:v>
      </x:c>
      <x:c r="F69" s="25" t="n">
        <x:v>1</x:v>
      </x:c>
      <x:c r="G69" t="n">
        <x:v>50</x:v>
      </x:c>
      <x:c r="H69" t="n">
        <x:v>50</x:v>
      </x:c>
      <x:c r="I69" t="n">
        <x:f>IF(OR(D69="",G69="",H69=""),"",IF(COUNTIF($D$11:D69,D69)&gt;1,0,ROUNDUP(MAX(SUMIF($D$11:$D$87,D69,$F$11:$F$87),G69)/H69,0)*H69))</x:f>
        <x:v>50</x:v>
      </x:c>
      <x:c r="J69" t="n">
        <x:v>50</x:v>
      </x:c>
      <x:c r="K69" s="26" t="n">
        <x:v>0.0104</x:v>
      </x:c>
      <x:c r="L69" s="27" t="n">
        <x:f>IF(K69="","",ROUND(F69*K69,4))</x:f>
        <x:v>0.0104</x:v>
      </x:c>
      <x:c r="M69" s="27" t="n">
        <x:f>IF(OR(K69="",I69="",N69=""),"",IF(N69&gt;=I69,ROUND(I69*K69,4),""))</x:f>
        <x:v>0.52</x:v>
      </x:c>
      <x:c r="N69" t="n">
        <x:v>264700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https://www.lcsc.com/product-detail/C137292.html</x:v>
      </x:c>
    </x:row>
    <x:row r="70" ht="36" customHeight="1">
      <x:c r="A70" s="25" t="str">
        <x:v>R140</x:v>
      </x:c>
      <x:c r="B70" s="25" t="str">
        <x:v>78.7k 1% codec feedback divider resistor</x:v>
      </x:c>
      <x:c r="C70" s="25" t="str">
        <x:v>SAE</x:v>
      </x:c>
      <x:c r="D70" s="25" t="str">
        <x:v>1RC0603F7872</x:v>
      </x:c>
      <x:c r="E70" s="25" t="str">
        <x:v>C54531588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IF(OR(D70="",G70="",H70=""),"",IF(COUNTIF($D$11:D70,D70)&gt;1,0,ROUNDUP(MAX(SUMIF($D$11:$D$87,D70,$F$11:$F$87),G70)/H70,0)*H70))</x:f>
        <x:v>100</x:v>
      </x:c>
      <x:c r="J70" t="n">
        <x:v>100</x:v>
      </x:c>
      <x:c r="K70" s="26" t="n">
        <x:v>0.002</x:v>
      </x:c>
      <x:c r="L70" s="27" t="n">
        <x:f>IF(K70="","",ROUND(F70*K70,4))</x:f>
        <x:v>0.002</x:v>
      </x:c>
      <x:c r="M70" s="27" t="n">
        <x:f>IF(OR(K70="",I70="",N70=""),"",IF(N70&gt;=I70,ROUND(I70*K70,4),""))</x:f>
        <x:v>0.2</x:v>
      </x:c>
      <x:c r="N70" t="n">
        <x:v>4700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In stock 4,700; tier $0.002 at 100+. Datasheet confirms 0603, ±1%, ±100ppm/°C and −55 to +155°C.</x:v>
      </x:c>
      <x:c r="S70" t="str">
        <x:v>https://www.lcsc.com/product-detail/C54531588.html</x:v>
      </x:c>
    </x:row>
    <x:row r="71" ht="36" customHeight="1">
      <x:c r="A71" s="25" t="str">
        <x:v>R141</x:v>
      </x:c>
      <x:c r="B71" s="25" t="str">
        <x:v>9.1k 1% codec feedback divider resistor</x:v>
      </x:c>
      <x:c r="C71" s="25" t="str">
        <x:v>YAGEO</x:v>
      </x:c>
      <x:c r="D71" s="25" t="str">
        <x:v>RC0603FR-079K1L</x:v>
      </x:c>
      <x:c r="E71" s="25" t="str">
        <x:v>C114639</x:v>
      </x:c>
      <x:c r="F71" s="25" t="n">
        <x:v>1</x:v>
      </x:c>
      <x:c r="G71" t="n">
        <x:v>100</x:v>
      </x:c>
      <x:c r="H71" t="n">
        <x:v>100</x:v>
      </x:c>
      <x:c r="I71" t="n">
        <x:f>IF(OR(D71="",G71="",H71=""),"",IF(COUNTIF($D$11:D71,D71)&gt;1,0,ROUNDUP(MAX(SUMIF($D$11:$D$87,D71,$F$11:$F$87),G71)/H71,0)*H71))</x:f>
        <x:v>100</x:v>
      </x:c>
      <x:c r="J71" t="n">
        <x:v>100</x:v>
      </x:c>
      <x:c r="K71" s="26" t="n">
        <x:v>0.0034</x:v>
      </x:c>
      <x:c r="L71" s="27" t="n">
        <x:f>IF(K71="","",ROUND(F71*K71,4))</x:f>
        <x:v>0.0034</x:v>
      </x:c>
      <x:c r="M71" s="27" t="n">
        <x:f>IF(OR(K71="",I71="",N71=""),"",IF(N71&gt;=I71,ROUND(I71*K71,4),""))</x:f>
        <x:v>0.34</x:v>
      </x:c>
      <x:c r="N71" t="n">
        <x:v>296500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In stock 296,500; tier $0.0034 at 100+. 0603, ±1%, ±100ppm/°C, −55 to +155°C. Distinct MPN from R151.</x:v>
      </x:c>
      <x:c r="S71" t="str">
        <x:v>https://www.lcsc.com/product-detail/C114639.html</x:v>
      </x:c>
    </x:row>
    <x:row r="72" ht="36" customHeight="1">
      <x:c r="A72" s="25" t="str">
        <x:v>R150</x:v>
      </x:c>
      <x:c r="B72" s="25" t="str">
        <x:v>604k 1% feedback resistor</x:v>
      </x:c>
      <x:c r="C72" s="25" t="str">
        <x:v>FOJAN</x:v>
      </x:c>
      <x:c r="D72" s="25" t="str">
        <x:v>FRC0603F6043TS</x:v>
      </x:c>
      <x:c r="E72" s="25" t="str">
        <x:v>C2933246</x:v>
      </x:c>
      <x:c r="F72" s="25" t="n">
        <x:v>1</x:v>
      </x:c>
      <x:c r="G72" t="n">
        <x:v>100</x:v>
      </x:c>
      <x:c r="H72" t="n">
        <x:v>100</x:v>
      </x:c>
      <x:c r="I72" t="n">
        <x:f>IF(OR(D72="",G72="",H72=""),"",IF(COUNTIF($D$11:D72,D72)&gt;1,0,ROUNDUP(MAX(SUMIF($D$11:$D$87,D72,$F$11:$F$87),G72)/H72,0)*H72))</x:f>
        <x:v>100</x:v>
      </x:c>
      <x:c r="J72" t="n">
        <x:v>100</x:v>
      </x:c>
      <x:c r="K72" s="26" t="n">
        <x:v>0.0025</x:v>
      </x:c>
      <x:c r="L72" s="27" t="n">
        <x:f>IF(K72="","",ROUND(F72*K72,4))</x:f>
        <x:v>0.0025</x:v>
      </x:c>
      <x:c r="M72" s="27" t="n">
        <x:f>IF(OR(K72="",I72="",N72=""),"",IF(N72&gt;=I72,ROUND(I72*K72,4),""))</x:f>
        <x:v>0.25</x:v>
      </x:c>
      <x:c r="N72" t="n">
        <x:v>54400</x:v>
      </x:c>
      <x:c r="O72" t="str">
        <x:v>Listing snapshot</x:v>
      </x:c>
      <x:c r="P72" s="16" t="n">
        <x:v>46300</x:v>
      </x:c>
      <x:c r="Q72" t="str">
        <x:v>2026-10-05</x:v>
      </x:c>
      <x:c r="R72"/>
      <x:c r="S72" t="str">
        <x:v>https://www.lcsc.com/product-detail/C2933246.html</x:v>
      </x:c>
    </x:row>
    <x:row r="73" ht="36" customHeight="1">
      <x:c r="A73" s="25" t="str">
        <x:v>R151</x:v>
      </x:c>
      <x:c r="B73" s="25" t="str">
        <x:v>91k 1% feedback resistor</x:v>
      </x:c>
      <x:c r="C73" s="25" t="str">
        <x:v>YAGEO</x:v>
      </x:c>
      <x:c r="D73" s="25" t="str">
        <x:v>AC0603FR-0791KL</x:v>
      </x:c>
      <x:c r="E73" s="25" t="str">
        <x:v>C228098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IF(OR(D73="",G73="",H73=""),"",IF(COUNTIF($D$11:D73,D73)&gt;1,0,ROUNDUP(MAX(SUMIF($D$11:$D$87,D73,$F$11:$F$87),G73)/H73,0)*H73))</x:f>
        <x:v>100</x:v>
      </x:c>
      <x:c r="J73" t="n">
        <x:v>100</x:v>
      </x:c>
      <x:c r="K73" s="26" t="n">
        <x:v>0.0061</x:v>
      </x:c>
      <x:c r="L73" s="27" t="n">
        <x:f>IF(K73="","",ROUND(F73*K73,4))</x:f>
        <x:v>0.0061</x:v>
      </x:c>
      <x:c r="M73" s="27" t="n">
        <x:f>IF(OR(K73="",I73="",N73=""),"",IF(N73&gt;=I73,ROUND(I73*K73,4),""))</x:f>
        <x:v>0.61</x:v>
      </x:c>
      <x:c r="N73" t="n">
        <x:v>700</x:v>
      </x:c>
      <x:c r="O73" t="str">
        <x:v>Listing snapshot</x:v>
      </x:c>
      <x:c r="P73" s="16" t="n">
        <x:v>46300</x:v>
      </x:c>
      <x:c r="Q73" t="str">
        <x:v>2026-10-05</x:v>
      </x:c>
      <x:c r="R73"/>
      <x:c r="S73" t="str">
        <x:v>https://www.lcsc.com/product-detail/C228098.html</x:v>
      </x:c>
    </x:row>
    <x:row r="74" ht="36" customHeight="1">
      <x:c r="A74" s="25" t="str">
        <x:v>R152, R153, R154</x:v>
      </x:c>
      <x:c r="B74" s="25" t="str">
        <x:v>100k EN / MODE / bleeder resistors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3</x:v>
      </x:c>
      <x:c r="G74" t="n">
        <x:v>100</x:v>
      </x:c>
      <x:c r="H74" t="n">
        <x:v>100</x:v>
      </x:c>
      <x:c r="I74" t="n">
        <x:f>IF(OR(D74="",G74="",H74=""),"",IF(COUNTIF($D$11:D74,D74)&gt;1,0,ROUNDUP(MAX(SUMIF($D$11:$D$87,D74,$F$11:$F$87),G74)/H74,0)*H74))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0.0108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/>
      <x:c r="S74" t="str">
        <x:v>https://www.lcsc.com/product-detail/C14675.html</x:v>
      </x:c>
    </x:row>
    <x:row r="75" ht="36" customHeight="1">
      <x:c r="A75" s="25" t="str">
        <x:v>R180</x:v>
      </x:c>
      <x:c r="B75" s="25" t="str">
        <x:v>100k 1% OVP divider resistor</x:v>
      </x:c>
      <x:c r="C75" s="25" t="str">
        <x:v>YAGEO</x:v>
      </x:c>
      <x:c r="D75" s="25" t="str">
        <x:v>RC0603FR-07100KL</x:v>
      </x:c>
      <x:c r="E75" s="25" t="str">
        <x:v>C14675</x:v>
      </x:c>
      <x:c r="F75" s="25" t="n">
        <x:v>1</x:v>
      </x:c>
      <x:c r="G75" t="n">
        <x:v>100</x:v>
      </x:c>
      <x:c r="H75" t="n">
        <x:v>100</x:v>
      </x:c>
      <x:c r="I75" t="n">
        <x:f>IF(OR(D75="",G75="",H75=""),"",IF(COUNTIF($D$11:D75,D75)&gt;1,0,ROUNDUP(MAX(SUMIF($D$11:$D$87,D75,$F$11:$F$87),G75)/H75,0)*H75))</x:f>
        <x:v>0</x:v>
      </x:c>
      <x:c r="J75" t="n">
        <x:v>100</x:v>
      </x:c>
      <x:c r="K75" s="26" t="n">
        <x:v>0.0036</x:v>
      </x:c>
      <x:c r="L75" s="27" t="n">
        <x:f>IF(K75="","",ROUND(F75*K75,4))</x:f>
        <x:v>0.0036</x:v>
      </x:c>
      <x:c r="M75" s="27" t="str">
        <x:f>IF(OR(K75="",I75="",N75=""),"",IF(N75&gt;=I75,ROUND(I75*K75,4),""))</x:f>
      </x:c>
      <x:c r="N75" t="n">
        <x:v>7813400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https://www.lcsc.com/product-detail/C14675.html</x:v>
      </x:c>
    </x:row>
    <x:row r="76" ht="36" customHeight="1">
      <x:c r="A76" s="25" t="str">
        <x:v>R181</x:v>
      </x:c>
      <x:c r="B76" s="25" t="str">
        <x:v>12.1k 1% OVP divider resistor</x:v>
      </x:c>
      <x:c r="C76" s="25" t="str">
        <x:v>YAGEO</x:v>
      </x:c>
      <x:c r="D76" s="25" t="str">
        <x:v>RC0603FR-0712K1L</x:v>
      </x:c>
      <x:c r="E76" s="25" t="str">
        <x:v>C123417</x:v>
      </x:c>
      <x:c r="F76" s="25" t="n">
        <x:v>1</x:v>
      </x:c>
      <x:c r="G76" t="n">
        <x:v>100</x:v>
      </x:c>
      <x:c r="H76" t="n">
        <x:v>100</x:v>
      </x:c>
      <x:c r="I76" t="n">
        <x:f>IF(OR(D76="",G76="",H76=""),"",IF(COUNTIF($D$11:D76,D76)&gt;1,0,ROUNDUP(MAX(SUMIF($D$11:$D$87,D76,$F$11:$F$87),G76)/H76,0)*H76))</x:f>
        <x:v>100</x:v>
      </x:c>
      <x:c r="J76" t="n">
        <x:v>100</x:v>
      </x:c>
      <x:c r="K76" s="26" t="n">
        <x:v>0.0031</x:v>
      </x:c>
      <x:c r="L76" s="27" t="n">
        <x:f>IF(K76="","",ROUND(F76*K76,4))</x:f>
        <x:v>0.0031</x:v>
      </x:c>
      <x:c r="M76" s="27" t="n">
        <x:f>IF(OR(K76="",I76="",N76=""),"",IF(N76&gt;=I76,ROUND(I76*K76,4),""))</x:f>
        <x:v>0.31</x:v>
      </x:c>
      <x:c r="N76" t="n">
        <x:v>135800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https://www.lcsc.com/product-detail/C123417.html</x:v>
      </x:c>
    </x:row>
    <x:row r="77" ht="36" customHeight="1">
      <x:c r="A77" s="25" t="str">
        <x:v>R182</x:v>
      </x:c>
      <x:c r="B77" s="25" t="str">
        <x:v>5.36k 1% current-limit resistor</x:v>
      </x:c>
      <x:c r="C77" s="25" t="str">
        <x:v>FOJAN</x:v>
      </x:c>
      <x:c r="D77" s="25" t="str">
        <x:v>FRC0603F5361TS</x:v>
      </x:c>
      <x:c r="E77" s="25" t="str">
        <x:v>C2930112</x:v>
      </x:c>
      <x:c r="F77" s="25" t="n">
        <x:v>1</x:v>
      </x:c>
      <x:c r="G77" t="n">
        <x:v>100</x:v>
      </x:c>
      <x:c r="H77" t="n">
        <x:v>100</x:v>
      </x:c>
      <x:c r="I77" t="n">
        <x:f>IF(OR(D77="",G77="",H77=""),"",IF(COUNTIF($D$11:D77,D77)&gt;1,0,ROUNDUP(MAX(SUMIF($D$11:$D$87,D77,$F$11:$F$87),G77)/H77,0)*H77))</x:f>
        <x:v>100</x:v>
      </x:c>
      <x:c r="J77" t="n">
        <x:v>100</x:v>
      </x:c>
      <x:c r="K77" s="26" t="n">
        <x:v>0.0025</x:v>
      </x:c>
      <x:c r="L77" s="27" t="n">
        <x:f>IF(K77="","",ROUND(F77*K77,4))</x:f>
        <x:v>0.0025</x:v>
      </x:c>
      <x:c r="M77" s="27" t="n">
        <x:f>IF(OR(K77="",I77="",N77=""),"",IF(N77&gt;=I77,ROUND(I77*K77,4),""))</x:f>
        <x:v>0.25</x:v>
      </x:c>
      <x:c r="N77" t="n">
        <x:v>33100</x:v>
      </x:c>
      <x:c r="O77" t="str">
        <x:v>Listing snapshot</x:v>
      </x:c>
      <x:c r="P77" s="16" t="n">
        <x:v>46300</x:v>
      </x:c>
      <x:c r="Q77" t="str">
        <x:v>2026-10-05</x:v>
      </x:c>
      <x:c r="R77"/>
      <x:c r="S77" t="str">
        <x:v>https://www.lcsc.com/product-detail/C2930112.html</x:v>
      </x:c>
    </x:row>
    <x:row r="78" ht="42" customHeight="1">
      <x:c r="A78" s="21" t="str">
        <x:v>C181</x:v>
      </x:c>
      <x:c r="B78" s="21" t="str">
        <x:v>eFuse startup-ramp 22nF50VX7R0603</x:v>
      </x:c>
      <x:c r="C78" s="21" t="str">
        <x:v>Samsung Electro-Mechanics</x:v>
      </x:c>
      <x:c r="D78" s="21" t="str">
        <x:v>CL10B223KB8NNNC</x:v>
      </x:c>
      <x:c r="E78" s="21" t="str">
        <x:v>C21122</x:v>
      </x:c>
      <x:c r="F78" s="21" t="n">
        <x:v>1</x:v>
      </x:c>
      <x:c r="G78" t="n">
        <x:v>50</x:v>
      </x:c>
      <x:c r="H78" t="n">
        <x:v>50</x:v>
      </x:c>
      <x:c r="I78" t="n">
        <x:f>IF(OR(D78="",G78="",H78=""),"",IF(COUNTIF($D$11:D78,D78)&gt;1,0,ROUNDUP(MAX(SUMIF($D$11:$D$87,D78,$F$11:$F$87),G78)/H78,0)*H78))</x:f>
        <x:v>50</x:v>
      </x:c>
      <x:c r="J78" t="n">
        <x:v>50</x:v>
      </x:c>
      <x:c r="K78" s="26" t="n">
        <x:v>0.0084</x:v>
      </x:c>
      <x:c r="L78" s="27" t="n">
        <x:f>IF(K78="","",ROUND(F78*K78,4))</x:f>
        <x:v>0.0084</x:v>
      </x:c>
      <x:c r="M78" s="27" t="n">
        <x:f>IF(OR(K78="",I78="",N78=""),"",IF(N78&gt;=I78,ROUND(I78*K78,4),""))</x:f>
        <x:v>0.42</x:v>
      </x:c>
      <x:c r="N78" t="n">
        <x:v>316900</x:v>
      </x:c>
      <x:c r="O78" t="str">
        <x:v>Listing snapshot</x:v>
      </x:c>
      <x:c r="P78" s="16" t="n">
        <x:v>46300</x:v>
      </x:c>
      <x:c r="Q78" t="str">
        <x:v>2026-10-05</x:v>
      </x:c>
      <x:c r="R78"/>
      <x:c r="S78" t="str">
        <x:v>https://www.lcsc.com/product-detail/C21122.html</x:v>
      </x:c>
    </x:row>
    <x:row r="79" ht="42" customHeight="1">
      <x:c r="A79" s="21" t="str">
        <x:v>C108</x:v>
      </x:c>
      <x:c r="B79" s="21" t="str">
        <x:v>Additional PMID22uF25V1210</x:v>
      </x:c>
      <x:c r="C79" s="21" t="str">
        <x:v>Samsung Electro-Mechanics</x:v>
      </x:c>
      <x:c r="D79" s="21" t="str">
        <x:v>CL32B226KAJNNNE</x:v>
      </x:c>
      <x:c r="E79" s="21" t="str">
        <x:v>C309062</x:v>
      </x:c>
      <x:c r="F79" s="21" t="n">
        <x:v>1</x:v>
      </x:c>
      <x:c r="G79" t="n">
        <x:v>1</x:v>
      </x:c>
      <x:c r="H79" t="n">
        <x:v>1</x:v>
      </x:c>
      <x:c r="I79" t="n">
        <x:f>IF(OR(D79="",G79="",H79=""),"",IF(COUNTIF($D$11:D79,D79)&gt;1,0,ROUNDUP(MAX(SUMIF($D$11:$D$87,D79,$F$11:$F$87),G79)/H79,0)*H79))</x:f>
        <x:v>0</x:v>
      </x:c>
      <x:c r="J79" t="n">
        <x:v>1</x:v>
      </x:c>
      <x:c r="K79" s="26" t="n">
        <x:v>0.3569</x:v>
      </x:c>
      <x:c r="L79" s="27" t="n">
        <x:f>IF(K79="","",ROUND(F79*K79,4))</x:f>
        <x:v>0.3569</x:v>
      </x:c>
      <x:c r="M79" s="27" t="str">
        <x:f>IF(OR(K79="",I79="",N79=""),"",IF(N79&gt;=I79,ROUND(I79*K79,4),""))</x:f>
      </x:c>
      <x:c r="N79" t="n">
        <x:v>96346</x:v>
      </x:c>
      <x:c r="O79" t="str">
        <x:v>Listing snapshot</x:v>
      </x:c>
      <x:c r="P79" s="16" t="n">
        <x:v>46300</x:v>
      </x:c>
      <x:c r="Q79" t="str">
        <x:v>2026-10-05</x:v>
      </x:c>
      <x:c r="R79"/>
      <x:c r="S79" t="str">
        <x:v>https://www.lcsc.com/product-detail/C309062.html</x:v>
      </x:c>
    </x:row>
    <x:row r="80" ht="42" customHeight="1">
      <x:c r="A80" s="21" t="str">
        <x:v>C109</x:v>
      </x:c>
      <x:c r="B80" s="21" t="str">
        <x:v>Additional REGN10uF10V0805</x:v>
      </x:c>
      <x:c r="C80" s="21" t="str">
        <x:v>Samsung Electro-Mechanics</x:v>
      </x:c>
      <x:c r="D80" s="21" t="str">
        <x:v>CL21B106KPQNNNE</x:v>
      </x:c>
      <x:c r="E80" s="21" t="str">
        <x:v>C32635</x:v>
      </x:c>
      <x:c r="F80" s="21" t="n">
        <x:v>1</x:v>
      </x:c>
      <x:c r="G80" t="n">
        <x:v>10</x:v>
      </x:c>
      <x:c r="H80" t="n">
        <x:v>10</x:v>
      </x:c>
      <x:c r="I80" t="n">
        <x:f>IF(OR(D80="",G80="",H80=""),"",IF(COUNTIF($D$11:D80,D80)&gt;1,0,ROUNDUP(MAX(SUMIF($D$11:$D$87,D80,$F$11:$F$87),G80)/H80,0)*H80))</x:f>
        <x:v>0</x:v>
      </x:c>
      <x:c r="J80" t="n">
        <x:v>10</x:v>
      </x:c>
      <x:c r="K80" s="26" t="n">
        <x:v>0.093</x:v>
      </x:c>
      <x:c r="L80" s="27" t="n">
        <x:f>IF(K80="","",ROUND(F80*K80,4))</x:f>
        <x:v>0.093</x:v>
      </x:c>
      <x:c r="M80" s="27" t="str">
        <x:f>IF(OR(K80="",I80="",N80=""),"",IF(N80&gt;=I80,ROUND(I80*K80,4),""))</x:f>
      </x:c>
      <x:c r="N80" t="n">
        <x:v>230700</x:v>
      </x:c>
      <x:c r="O80" t="str">
        <x:v>Listing snapshot</x:v>
      </x:c>
      <x:c r="P80" s="16" t="n">
        <x:v>46300</x:v>
      </x:c>
      <x:c r="Q80" t="str">
        <x:v>2026-10-05</x:v>
      </x:c>
      <x:c r="R80"/>
      <x:c r="S80" t="str">
        <x:v>https://www.lcsc.com/product-detail/C32635.html</x:v>
      </x:c>
    </x:row>
    <x:row r="81" ht="36" customHeight="1">
      <x:c r="A81" s="21" t="str">
        <x:v>R142</x:v>
      </x:c>
      <x:c r="B81" s="21" t="str">
        <x:v>100k EN pulldown resistor</x:v>
      </x:c>
      <x:c r="C81" s="21" t="str">
        <x:v>YAGEO</x:v>
      </x:c>
      <x:c r="D81" s="21" t="str">
        <x:v>RC0603FR-07100KL</x:v>
      </x:c>
      <x:c r="E81" s="21" t="str">
        <x:v>C14675</x:v>
      </x:c>
      <x:c r="F81" s="2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IF(OR(D81="",G81="",H81=""),"",IF(COUNTIF($D$11:D81,D81)&gt;1,0,ROUNDUP(MAX(SUMIF($D$11:$D$87,D81,$F$11:$F$87),G81)/H81,0)*H81))</x:f>
        <x:v>0</x:v>
      </x:c>
      <x:c r="J81" t="n">
        <x:v>100</x:v>
      </x:c>
      <x:c r="K81" s="26" t="n">
        <x:v>0.0036</x:v>
      </x:c>
      <x:c r="L81" s="27" t="n">
        <x:f>IF(K81="","",ROUND(F81*K81,4))</x:f>
        <x:v>0.0036</x:v>
      </x:c>
      <x:c r="M81" s="27" t="str">
        <x:f>IF(OR(K81="",I81="",N81=""),"",IF(N81&gt;=I81,ROUND(I81*K81,4),""))</x:f>
      </x:c>
      <x:c r="N81" t="n">
        <x:v>7813400</x:v>
      </x:c>
      <x:c r="O81" t="str">
        <x:v>Listing snapshot</x:v>
      </x:c>
      <x:c r="P81" s="16" t="n">
        <x:v>46300</x:v>
      </x:c>
      <x:c r="Q81" t="str">
        <x:v>2026-10-05</x:v>
      </x:c>
      <x:c r="R81" t="str">
        <x:v>Existing selected resistor; separated from R141 after divider value change.</x:v>
      </x:c>
      <x:c r="S81" t="str">
        <x:v>https://www.lcsc.com/product-detail/C14675.html</x:v>
      </x:c>
    </x:row>
    <x:row r="82" ht="54" customHeight="1">
      <x:c r="A82" s="21" t="str">
        <x:v>U19</x:v>
      </x:c>
      <x:c r="B82" s="21" t="str">
        <x:v>USB auxiliary 5V / PD controller VDD LDO</x:v>
      </x:c>
      <x:c r="C82" s="21" t="str">
        <x:v>Texas Instruments</x:v>
      </x:c>
      <x:c r="D82" s="21" t="str">
        <x:v>TPS7B8450QWDRBRQ1</x:v>
      </x:c>
      <x:c r="E82" s="21" t="str">
        <x:v>C3751394</x:v>
      </x:c>
      <x:c r="F82" s="21" t="n">
        <x:v>1</x:v>
      </x:c>
      <x:c r="G82" t="n">
        <x:v>1</x:v>
      </x:c>
      <x:c r="H82" t="n">
        <x:v>1</x:v>
      </x:c>
      <x:c r="I82" t="n">
        <x:f>IF(OR(D82="",G82="",H82=""),"",IF(COUNTIF($D$11:D82,D82)&gt;1,0,ROUNDUP(MAX(SUMIF($D$11:$D$87,D82,$F$11:$F$87),G82)/H82,0)*H82))</x:f>
        <x:v>1</x:v>
      </x:c>
      <x:c r="J82" t="n">
        <x:v>1</x:v>
      </x:c>
      <x:c r="K82" s="26" t="n">
        <x:v>1.3452</x:v>
      </x:c>
      <x:c r="L82" s="27" t="n">
        <x:f>IF(K82="","",ROUND(F82*K82,4))</x:f>
        <x:v>1.3452</x:v>
      </x:c>
      <x:c r="M82" s="27" t="n">
        <x:f>IF(OR(K82="",I82="",N82=""),"",IF(N82&gt;=I82,ROUND(I82*K82,4),""))</x:f>
        <x:v>1.3452</x:v>
      </x:c>
      <x:c r="N82" t="n">
        <x:v>1</x:v>
      </x:c>
      <x:c r="O82" t="str">
        <x:v>Listing snapshot</x:v>
      </x:c>
      <x:c r="P82" s="16" t="n">
        <x:v>46300</x:v>
      </x:c>
      <x:c r="Q82" t="str">
        <x:v>2026-10-05</x:v>
      </x:c>
      <x:c r="R82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82" t="str">
        <x:v>https://www.lcsc.com/product-detail/C3751394.html</x:v>
      </x:c>
    </x:row>
    <x:row r="83" ht="48" customHeight="1">
      <x:c r="A83" s="21" t="str">
        <x:v>U20</x:v>
      </x:c>
      <x:c r="B83" s="21" t="str">
        <x:v>USB and system logic priority mux</x:v>
      </x:c>
      <x:c r="C83" s="21" t="str">
        <x:v>Texas Instruments</x:v>
      </x:c>
      <x:c r="D83" s="21" t="str">
        <x:v>TPS2116DRLR</x:v>
      </x:c>
      <x:c r="E83" s="21" t="str">
        <x:v>C3235557</x:v>
      </x:c>
      <x:c r="F83" s="21" t="n">
        <x:v>1</x:v>
      </x:c>
      <x:c r="G83"/>
      <x:c r="H83"/>
      <x:c r="I83" t="str">
        <x:f>IF(OR(D83="",G83="",H83=""),"",IF(COUNTIF($D$11:D83,D83)&gt;1,0,ROUNDUP(MAX(SUMIF($D$11:$D$87,D83,$F$11:$F$87),G83)/H83,0)*H83))</x:f>
      </x:c>
      <x:c r="J83"/>
      <x:c r="K83" s="26"/>
      <x:c r="L83" s="27" t="str">
        <x:f>IF(K83="","",ROUND(F83*K83,4))</x:f>
      </x:c>
      <x:c r="M83" s="27" t="str">
        <x:f>IF(OR(K83="",I83="",N83=""),"",IF(N83&gt;=I83,ROUND(I83*K83,4),""))</x:f>
      </x:c>
      <x:c r="N83"/>
      <x:c r="O83" t="str">
        <x:v>Stock/price unverified</x:v>
      </x:c>
      <x:c r="P83" s="16"/>
      <x:c r="Q83"/>
      <x:c r="R83" s="21" t="str">
        <x:v>Selected MPN/LCSC mapping; current stock and price not verified.</x:v>
      </x:c>
      <x:c r="S83" t="str">
        <x:v>https://www.lcsc.com/product-detail/C3235557.html</x:v>
      </x:c>
    </x:row>
    <x:row r="84" ht="48" customHeight="1">
      <x:c r="A84" s="21" t="str">
        <x:v>R124</x:v>
      </x:c>
      <x:c r="B84" s="21" t="str">
        <x:v>180k 1% USB-priority threshold divider resistor</x:v>
      </x:c>
      <x:c r="C84" s="21" t="str">
        <x:v>YAGEO</x:v>
      </x:c>
      <x:c r="D84" s="21" t="str">
        <x:v>RC0603FR-07180KL</x:v>
      </x:c>
      <x:c r="E84" s="21" t="str">
        <x:v>C123419</x:v>
      </x:c>
      <x:c r="F84" s="21" t="n">
        <x:v>1</x:v>
      </x:c>
      <x:c r="G84" t="n">
        <x:v>100</x:v>
      </x:c>
      <x:c r="H84" t="n">
        <x:v>100</x:v>
      </x:c>
      <x:c r="I84" t="n">
        <x:f>IF(OR(D84="",G84="",H84=""),"",IF(COUNTIF($D$11:D84,D84)&gt;1,0,ROUNDUP(MAX(SUMIF($D$11:$D$87,D84,$F$11:$F$87),G84)/H84,0)*H84))</x:f>
        <x:v>100</x:v>
      </x:c>
      <x:c r="J84" t="n">
        <x:v>100</x:v>
      </x:c>
      <x:c r="K84" s="26" t="n">
        <x:v>0.0012</x:v>
      </x:c>
      <x:c r="L84" s="27" t="n">
        <x:f>IF(K84="","",ROUND(F84*K84,4))</x:f>
        <x:v>0.0012</x:v>
      </x:c>
      <x:c r="M84" s="27" t="str">
        <x:f>IF(OR(K84="",I84="",N84=""),"",IF(N84&gt;=I84,ROUND(I84*K84,4),""))</x:f>
      </x:c>
      <x:c r="N84"/>
      <x:c r="O84" t="str">
        <x:v>Stock unverified; price snapshot</x:v>
      </x:c>
      <x:c r="P84" s="16" t="n">
        <x:v>46300</x:v>
      </x:c>
      <x:c r="Q84" t="str">
        <x:v>2026-10-05</x:v>
      </x:c>
      <x:c r="R84" s="21" t="str">
        <x:v>Observed listing tier: $0.0012 at MOQ100. Product page may be stale; stock is unverified.</x:v>
      </x:c>
      <x:c r="S84" t="str">
        <x:v>https://www.lcsc.com/product-detail/C123419.html</x:v>
      </x:c>
    </x:row>
    <x:row r="85" ht="48" customHeight="1">
      <x:c r="A85" s="21" t="str">
        <x:v>R125</x:v>
      </x:c>
      <x:c r="B85" s="21" t="str">
        <x:v>100k PR1 divider resistor</x:v>
      </x:c>
      <x:c r="C85" s="21" t="str">
        <x:v>YAGEO</x:v>
      </x:c>
      <x:c r="D85" s="21" t="str">
        <x:v>RC0603FR-07100KL</x:v>
      </x:c>
      <x:c r="E85" s="21" t="str">
        <x:v>C14675</x:v>
      </x:c>
      <x:c r="F85" s="21" t="n">
        <x:v>1</x:v>
      </x:c>
      <x:c r="G85" t="n">
        <x:v>100</x:v>
      </x:c>
      <x:c r="H85" t="n">
        <x:v>100</x:v>
      </x:c>
      <x:c r="I85" t="n">
        <x:f>IF(OR(D85="",G85="",H85=""),"",IF(COUNTIF($D$11:D85,D85)&gt;1,0,ROUNDUP(MAX(SUMIF($D$11:$D$87,D85,$F$11:$F$87),G85)/H85,0)*H85))</x:f>
        <x:v>0</x:v>
      </x:c>
      <x:c r="J85" t="n">
        <x:v>100</x:v>
      </x:c>
      <x:c r="K85" s="26" t="n">
        <x:v>0.0036</x:v>
      </x:c>
      <x:c r="L85" s="27" t="n">
        <x:f>IF(K85="","",ROUND(F85*K85,4))</x:f>
        <x:v>0.0036</x:v>
      </x:c>
      <x:c r="M85" s="27" t="str">
        <x:f>IF(OR(K85="",I85="",N85=""),"",IF(N85&gt;=I85,ROUND(I85*K85,4),""))</x:f>
      </x:c>
      <x:c r="N85" t="n">
        <x:v>7813400</x:v>
      </x:c>
      <x:c r="O85" t="str">
        <x:v>Listing snapshot</x:v>
      </x:c>
      <x:c r="P85" s="16" t="n">
        <x:v>46300</x:v>
      </x:c>
      <x:c r="Q85" t="str">
        <x:v>2026-10-05</x:v>
      </x:c>
      <x:c r="R85" s="21" t="str">
        <x:v>Reuse same selected MPN/LCSC mapping as existing 100k BOM rows; no additional MOQ order.</x:v>
      </x:c>
      <x:c r="S85" t="str">
        <x:v>https://www.lcsc.com/product-detail/C14675.html</x:v>
      </x:c>
    </x:row>
    <x:row r="86" ht="54" customHeight="1">
      <x:c r="A86" s="21" t="str">
        <x:v>U21</x:v>
      </x:c>
      <x:c r="B86" s="21" t="str">
        <x:v>Gauge undervoltage supervisor</x:v>
      </x:c>
      <x:c r="C86" s="21" t="str">
        <x:v>Texas Instruments</x:v>
      </x:c>
      <x:c r="D86" s="21" t="str">
        <x:v>TPS3839G33DBZR</x:v>
      </x:c>
      <x:c r="E86" s="21" t="str">
        <x:v>C485802</x:v>
      </x:c>
      <x:c r="F86" s="21" t="n">
        <x:v>1</x:v>
      </x:c>
      <x:c r="G86" t="n">
        <x:v>1</x:v>
      </x:c>
      <x:c r="H86" t="n">
        <x:v>1</x:v>
      </x:c>
      <x:c r="I86" t="n">
        <x:f>IF(OR(D86="",G86="",H86=""),"",IF(COUNTIF($D$11:D86,D86)&gt;1,0,ROUNDUP(MAX(SUMIF($D$11:$D$87,D86,$F$11:$F$87),G86)/H86,0)*H86))</x:f>
        <x:v>1</x:v>
      </x:c>
      <x:c r="J86" t="n">
        <x:v>1</x:v>
      </x:c>
      <x:c r="K86" s="26" t="n">
        <x:v>0.439</x:v>
      </x:c>
      <x:c r="L86" s="27" t="n">
        <x:f>IF(K86="","",ROUND(F86*K86,4))</x:f>
        <x:v>0.439</x:v>
      </x:c>
      <x:c r="M86" s="27" t="n">
        <x:f>IF(OR(K86="",I86="",N86=""),"",IF(N86&gt;=I86,ROUND(I86*K86,4),""))</x:f>
        <x:v>0.439</x:v>
      </x:c>
      <x:c r="N86" t="n">
        <x:v>3444</x:v>
      </x:c>
      <x:c r="O86" t="str">
        <x:v>Listing snapshot</x:v>
      </x:c>
      <x:c r="P86" s="16" t="n">
        <x:v>46300</x:v>
      </x:c>
      <x:c r="Q86" t="str">
        <x:v>2026-10-05</x:v>
      </x:c>
      <x:c r="R86" s="21"/>
      <x:c r="S86" t="str">
        <x:v>https://www.lcsc.com/product-detail/C485802.html</x:v>
      </x:c>
    </x:row>
    <x:row r="87" ht="54" customHeight="1">
      <x:c r="A87" s="21" t="str">
        <x:v>R126, R127</x:v>
      </x:c>
      <x:c r="B87" s="21" t="str">
        <x:v>Gauge signal-switch and supervisor gate pull-up/pull-down resistors</x:v>
      </x:c>
      <x:c r="C87" s="21" t="str">
        <x:v>YAGEO</x:v>
      </x:c>
      <x:c r="D87" s="21" t="str">
        <x:v>RC0603FR-071ML</x:v>
      </x:c>
      <x:c r="E87" s="21" t="str">
        <x:v>C105578</x:v>
      </x:c>
      <x:c r="F87" s="21" t="n">
        <x:v>2</x:v>
      </x:c>
      <x:c r="G87" t="n">
        <x:v>100</x:v>
      </x:c>
      <x:c r="H87" t="n">
        <x:v>100</x:v>
      </x:c>
      <x:c r="I87" t="n">
        <x:f>IF(OR(D87="",G87="",H87=""),"",IF(COUNTIF($D$11:D87,D87)&gt;1,0,ROUNDUP(MAX(SUMIF($D$11:$D$87,D87,$F$11:$F$87),G87)/H87,0)*H87))</x:f>
        <x:v>100</x:v>
      </x:c>
      <x:c r="J87" t="n">
        <x:v>100</x:v>
      </x:c>
      <x:c r="K87" s="26" t="n">
        <x:v>0.0056</x:v>
      </x:c>
      <x:c r="L87" s="27" t="n">
        <x:f>IF(K87="","",ROUND(F87*K87,4))</x:f>
        <x:v>0.0112</x:v>
      </x:c>
      <x:c r="M87" s="27" t="n">
        <x:f>IF(OR(K87="",I87="",N87=""),"",IF(N87&gt;=I87,ROUND(I87*K87,4),""))</x:f>
        <x:v>0.56</x:v>
      </x:c>
      <x:c r="N87" t="n">
        <x:v>359600</x:v>
      </x:c>
      <x:c r="O87" t="str">
        <x:v>Listing snapshot</x:v>
      </x:c>
      <x:c r="P87" s="16" t="n">
        <x:v>46300</x:v>
      </x:c>
      <x:c r="Q87" t="str">
        <x:v>2026-10-05</x:v>
      </x:c>
      <x:c r="R87" s="21"/>
      <x:c r="S87" t="str">
        <x:v>https://www.lcsc.com/product-detail/C105578.html</x:v>
      </x:c>
    </x:row>
    <x:row r="88">
      <x:c r="A88" t="str">
        <x:v>U18 links a derived STEP with corrected exposed pad; manufacturer exact model remains unavailable.</x:v>
      </x:c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 t="str">
        <x:v>U2: Only 4 available in page snapshot.</x:v>
      </x:c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 t="str">
        <x:v>U6, U7: Refreshed full product page differs from older cached prices.</x:v>
      </x:c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 t="str">
        <x:v>U18 links a derived STEP with corrected exposed pad; manufacturer exact model remains unavailable.</x:v>
      </x:c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 t="str">
        <x:v>U2: Only 4 available in page snapshot.</x:v>
      </x:c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 t="str">
        <x:v>U6, U7: Refreshed full product page differs from older cached prices.</x:v>
      </x:c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Reference (candidate)</x:v>
      </x:c>
      <x:c r="B1" t="str">
        <x:v>Function</x:v>
      </x:c>
      <x:c r="C1" t="str">
        <x:v>Manufacturer</x:v>
      </x:c>
      <x:c r="D1" t="str">
        <x:v>MPN</x:v>
      </x:c>
      <x:c r="E1" t="str">
        <x:v>LCSC part</x:v>
      </x:c>
      <x:c r="F1" t="str">
        <x:v>Fitted qty</x:v>
      </x:c>
      <x:c r="G1" t="str">
        <x:v>MOQ</x:v>
      </x:c>
      <x:c r="H1" t="str">
        <x:v>Unit USD (tier)</x:v>
      </x:c>
      <x:c r="I1" t="str">
        <x:v>Stock qty (2026-10-05 listing)</x:v>
      </x:c>
      <x:c r="J1" t="str">
        <x:v>Footprint</x:v>
      </x:c>
      <x:c r="K1" t="str">
        <x:v>Note</x:v>
      </x:c>
    </x:row>
    <x:row r="2">
      <x:c r="A2" t="str">
        <x:v>C2</x:v>
      </x:c>
      <x:c r="B2" t="str">
        <x:v>TPS25730D CVBUS 4.7uF/50V X7R 1210 (was 1uF)</x:v>
      </x:c>
      <x:c r="C2" t="str">
        <x:v>Samsung Electro-Mechanics</x:v>
      </x:c>
      <x:c r="D2" t="str">
        <x:v>CL32B475KBUYNNE</x:v>
      </x:c>
      <x:c r="E2" t="str">
        <x:v>C170099</x:v>
      </x:c>
      <x:c r="F2" t="n">
        <x:v>1</x:v>
      </x:c>
      <x:c r="G2" t="n">
        <x:v>5</x:v>
      </x:c>
      <x:c r="H2" t="n">
        <x:v>0.1367</x:v>
      </x:c>
      <x:c r="I2" t="n">
        <x:v>57880</x:v>
      </x:c>
      <x:c r="J2" t="str">
        <x:v>DesktopSpeaker:PD_C_1210</x:v>
      </x:c>
      <x:c r="K2" t="str">
        <x:v>Alt: GRM32ER71H475KA88L C86052</x:v>
      </x:c>
    </x:row>
    <x:row r="3">
      <x:c r="A3" t="str">
        <x:v>C6</x:v>
      </x:c>
      <x:c r="B3" t="str">
        <x:v>TPS25730D CLDO_3V3 22uF/10V X7R 0805 (was 10uF)</x:v>
      </x:c>
      <x:c r="C3" t="str">
        <x:v>Murata</x:v>
      </x:c>
      <x:c r="D3" t="str">
        <x:v>GRM21BZ71A226ME15L</x:v>
      </x:c>
      <x:c r="E3" t="str">
        <x:v>C907991</x:v>
      </x:c>
      <x:c r="F3" t="n">
        <x:v>1</x:v>
      </x:c>
      <x:c r="G3" t="n">
        <x:v>5</x:v>
      </x:c>
      <x:c r="H3" t="n">
        <x:v>0.2543</x:v>
      </x:c>
      <x:c r="I3" t="n">
        <x:v>132900</x:v>
      </x:c>
      <x:c r="J3" t="str">
        <x:v>DesktopSpeaker:PD_C_0805</x:v>
      </x:c>
      <x:c r="K3" t="str">
        <x:v>Same MPN as SYS caps</x:v>
      </x:c>
    </x:row>
    <x:row r="4">
      <x:c r="A4" t="str">
        <x:v>C113, C114, C115</x:v>
      </x:c>
      <x:c r="B4" t="str">
        <x:v>BQ25792 VBUS/PMID/SYS 100nF/50V X7R 0402 bypass</x:v>
      </x:c>
      <x:c r="C4" t="str">
        <x:v>Murata</x:v>
      </x:c>
      <x:c r="D4" t="str">
        <x:v>GRM155R71H104KE14D</x:v>
      </x:c>
      <x:c r="E4" t="str">
        <x:v>C77020</x:v>
      </x:c>
      <x:c r="F4" t="n">
        <x:v>3</x:v>
      </x:c>
      <x:c r="G4" t="n">
        <x:v>100</x:v>
      </x:c>
      <x:c r="H4" t="n">
        <x:v>0.007</x:v>
      </x:c>
      <x:c r="I4" t="n">
        <x:v>777000</x:v>
      </x:c>
      <x:c r="J4" t="str">
        <x:v>DesktopSpeaker:PD_C_0402 (new, ai-files/candidates/PD_C_0402.kicad_mod)</x:v>
      </x:c>
      <x:c r="K4" t="str">
        <x:v>Replaces mismatched CL21B104KBCNNNC (0805)</x:v>
      </x:c>
    </x:row>
    <x:row r="5">
      <x:c r="A5" t="str">
        <x:v>D7</x:v>
      </x:c>
      <x:c r="B5" t="str">
        <x:v>TPS25730D VBUS-to-GND Schottky (TI 8.5)</x:v>
      </x:c>
      <x:c r="C5" t="str">
        <x:v>Diodes Incorporated</x:v>
      </x:c>
      <x:c r="D5" t="str">
        <x:v>1N5819HW-7-F</x:v>
      </x:c>
      <x:c r="E5" t="str">
        <x:v>C82544</x:v>
      </x:c>
      <x:c r="F5" t="n">
        <x:v>1</x:v>
      </x:c>
      <x:c r="G5" t="n">
        <x:v>10</x:v>
      </x:c>
      <x:c r="H5" t="n">
        <x:v>0.057</x:v>
      </x:c>
      <x:c r="I5" t="n">
        <x:v>137330</x:v>
      </x:c>
      <x:c r="J5" t="str">
        <x:v>DesktopSpeaker:PD_D_SOD123</x:v>
      </x:c>
      <x:c r="K5" t="str">
        <x:v>40V/1A SOD-123; IR max ~1 mA at 40V, lower at 20V; alt B5819W SL C8598</x:v>
      </x:c>
    </x:row>
    <x:row r="6">
      <x:c r="A6" t="str">
        <x:v>R14, R15, R18</x:v>
      </x:c>
      <x:c r="B6" t="str">
        <x:v>TPS25730D I2C SDA/SCL pull-ups to LDO_3V3 (R14,R15); pin 36 to GND (R18) 10k 1%</x:v>
      </x:c>
      <x:c r="C6" t="str">
        <x:v>YAGEO</x:v>
      </x:c>
      <x:c r="D6" t="str">
        <x:v>RC0603FR-0710KL</x:v>
      </x:c>
      <x:c r="E6" t="str">
        <x:v>C98220</x:v>
      </x:c>
      <x:c r="F6" t="n">
        <x:v>3</x:v>
      </x:c>
      <x:c r="G6" t="n">
        <x:v>100</x:v>
      </x:c>
      <x:c r="H6" t="n">
        <x:v>0.0034</x:v>
      </x:c>
      <x:c r="I6" t="n">
        <x:v>7736700</x:v>
      </x:c>
      <x:c r="J6" t="str">
        <x:v>DesktopSpeaker:PD_R_0603</x:v>
      </x:c>
      <x:c r="K6" t="str"/>
    </x:row>
    <x:row r="7">
      <x:c r="A7" t="str">
        <x:v>R16, R17, R103</x:v>
      </x:c>
      <x:c r="B7" t="str">
        <x:v>TPS25730D PLUG_EVENT/SINK_EN 100k pull-ups (R16,R17); BQ25792 R103 CE pull-up now 100k (was 10k)</x:v>
      </x:c>
      <x:c r="C7" t="str">
        <x:v>YAGEO</x:v>
      </x:c>
      <x:c r="D7" t="str">
        <x:v>RC0603FR-07100KL</x:v>
      </x:c>
      <x:c r="E7" t="str">
        <x:v>C14675</x:v>
      </x:c>
      <x:c r="F7" t="n">
        <x:v>3</x:v>
      </x:c>
      <x:c r="G7" t="n">
        <x:v>100</x:v>
      </x:c>
      <x:c r="H7" t="n">
        <x:v>0.0026</x:v>
      </x:c>
      <x:c r="I7" t="n">
        <x:v>7987300</x:v>
      </x:c>
      <x:c r="J7" t="str">
        <x:v>DesktopSpeaker:PD_R_0603</x:v>
      </x:c>
      <x:c r="K7" t="str">
        <x:v>R103 stays in Selected BOM row "R103, R106" as 10k until integration</x:v>
      </x:c>
    </x:row>
    <x:row r="9">
      <x:c r="A9" t="str">
        <x:v>Candidate-only rows; not in Selected BOM subtotals. Prices/stock are LCSC listing snapshots (2026-10-05). LCSC URL = https://www.lcsc.com/product-detail/&lt;LCSC part&gt;.html</x:v>
      </x:c>
    </x:row>
  </x:sheetData>
  <x:pageMargins left="0.7" right="0.7" top="0.75" bottom="0.75" header="0.3" footer="0.3"/>
</x:worksheet>
</file>