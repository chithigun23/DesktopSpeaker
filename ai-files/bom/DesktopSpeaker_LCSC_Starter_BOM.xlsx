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602fd640c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 BOM" sheetId="1" r:id="Rc8a8dc75f86e4d4a"/>
    <x:sheet xmlns:r="http://schemas.openxmlformats.org/officeDocument/2006/relationships" name="Open selections" sheetId="2" r:id="R20494eb9f8ab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$&quot;0.00"/>
    <x:numFmt numFmtId="201" formatCode="yyyy-mm-dd"/>
    <x:numFmt numFmtId="202" formatCode="&quot;$&quot;0.0000"/>
    <x:numFmt numFmtId="203" formatCode="0"/>
    <x:numFmt numFmtId="204" formatCode="#,##0"/>
    <x:numFmt numFmtId="205" formatCode="$0.0000"/>
    <x:numFmt numFmtId="206" formatCode="$0.00"/>
  </x:numFmts>
  <x:fonts count="5">
    <x:font>
      <x:sz val="11"/>
      <x:name val="Carlito"/>
    </x:font>
    <x:font>
      <x:sz val="11"/>
      <x:color rgb="FF172B4D"/>
      <x:name val="Arial"/>
    </x:font>
    <x:font>
      <x:b/>
      <x:sz val="18"/>
      <x:color rgb="FF172B4D"/>
      <x:name val="Arial"/>
    </x:font>
    <x:font>
      <x:b/>
      <x:sz val="11"/>
      <x:color rgb="FF172B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DF2FA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3" fontId="1" fillId="3" borderId="0" xfId="0" applyNumberFormat="1" applyFont="1" applyFill="1" applyBorder="1"/>
    <x:xf numFmtId="203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1" fillId="0" borderId="0" xfId="0" applyNumberFormat="1" applyFont="1" applyFill="1" applyBorder="1"/>
    <x:xf numFmtId="205" fontId="1" fillId="4" borderId="0" xfId="0" applyNumberFormat="1" applyFont="1" applyFill="1" applyBorder="1"/>
    <x:xf numFmtId="206" fontId="1" fillId="4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d510268a34462" /><Relationship Type="http://schemas.openxmlformats.org/officeDocument/2006/relationships/theme" Target="/xl/theme/theme1.xml" Id="R43f51a47c4ff45f8" /><Relationship Type="http://schemas.openxmlformats.org/officeDocument/2006/relationships/sharedStrings" Target="/xl/sharedStrings.xml" Id="R3d33616495364cf0" /><Relationship Type="http://schemas.openxmlformats.org/officeDocument/2006/relationships/worksheet" Target="/xl/worksheets/sheet1.xml" Id="Rc8a8dc75f86e4d4a" /><Relationship Type="http://schemas.openxmlformats.org/officeDocument/2006/relationships/worksheet" Target="/xl/worksheets/sheet2.xml" Id="R20494eb9f8ab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3" hidden="0" customWidth="1"/>
    <x:col min="4" max="4" width="24" hidden="0" customWidth="1"/>
    <x:col min="5" max="5" width="16" hidden="0" customWidth="1"/>
    <x:col min="6" max="6" width="10" hidden="0" customWidth="1"/>
    <x:col min="7" max="7" width="8" hidden="0" customWidth="1"/>
    <x:col min="8" max="8" width="10" hidden="0" customWidth="1"/>
    <x:col min="9" max="9" width="11" hidden="0" customWidth="1"/>
    <x:col min="10" max="10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6" hidden="0" customWidth="1"/>
    <x:col min="16" max="16" width="15" hidden="0" customWidth="1"/>
    <x:col min="17" max="17" width="16" hidden="0" customWidth="1"/>
    <x:col min="18" max="18" width="3" hidden="0" customWidth="1"/>
    <x:col min="19" max="19" width="9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4" customHeight="1">
      <x:c r="A2" s="2" t="str">
        <x:v>DesktopSpeaker starter LCSC BOM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4" customHeight="1">
      <x:c r="A4" s="1" t="str">
        <x:v>Selected fitted estimate (USD)</x:v>
      </x:c>
      <x:c r="B4" s="1"/>
      <x:c r="C4" s="1"/>
      <x:c r="D4" s="1"/>
      <x:c r="E4" s="3" t="n">
        <x:f>ROUND(SUM(L11:L111),2)</x:f>
        <x:v>105.98</x:v>
      </x:c>
      <x:c r="F4" s="1"/>
      <x:c r="G4" s="1" t="str">
        <x:v>BOM sourcing pass 2026-10-10 plus coordinator-approved substitutions (same value/package, voltage &gt;= original, dielectric/tolerance equal or better, in stock at LCSC; see reports/bom-sourcing-pass.md): LCSC codes, stock and JLC basic/extended looked up for all rows (stock is a lookup snapshot, not a quote); only the PACK row is unresolved, SW101 and SW102 have no in-stock equal part; U10 VDD cap corrected to C241 (2.2 uF). Subtotals cover priced rows only and are partial: pack, cells, unresolved rows, speakers and out-of-stock rows are excluded or unconfirmed; not full product cost.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4" customHeight="1">
      <x:c r="A5" s="1" t="str">
        <x:v>In-stock order subtotal (USD)</x:v>
      </x:c>
      <x:c r="B5" s="1"/>
      <x:c r="C5" s="1"/>
      <x:c r="D5" s="1"/>
      <x:c r="E5" s="3" t="n">
        <x:f>ROUND(SUM(M11:M111),2)</x:f>
        <x:v>140.2</x:v>
      </x:c>
      <x:c r="F5" s="1"/>
      <x:c r="G5" s="1" t="str">
        <x:v>MOQ orders consolidated by MPN; repeat rows show order quantity 0.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4" customHeight="1">
      <x:c r="A6" s="1" t="str">
        <x:v>Full BOM cost</x:v>
      </x:c>
      <x:c r="B6" s="1"/>
      <x:c r="C6" s="1"/>
      <x:c r="D6" s="1"/>
      <x:c r="E6" s="1" t="str">
        <x:v>Incomplete</x:v>
      </x:c>
      <x:c r="F6" s="1"/>
      <x:c r="G6" s="1" t="str">
        <x:v>Partial subtotal excludes unpriced parts, unverified stock, pack, switches, speakers and open audio selections; not full product cost.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4" customHeight="1">
      <x:c r="A7" s="1" t="str">
        <x:v>Scope</x:v>
      </x:c>
      <x:c r="B7" s="1"/>
      <x:c r="C7" s="1"/>
      <x:c r="D7" s="1"/>
      <x:c r="E7" s="1" t="str">
        <x:v>1 assembly</x:v>
      </x:c>
      <x:c r="F7" s="1"/>
      <x:c r="G7" s="1" t="str">
        <x:v>Latest schematic defines references. Older SVG diagrams may differ from imported parts.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4" customHeight="1">
      <x:c r="A8" s="1"/>
      <x:c r="B8" s="1"/>
      <x:c r="C8" s="1"/>
      <x:c r="D8" s="1"/>
      <x:c r="E8" s="1"/>
      <x:c r="F8" s="1"/>
      <x:c r="G8" s="1" t="str">
        <x:v>Prices are fixed at listed tiers. Re-source prices after changing fitted quantities.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 ht="24" customHeight="1">
      <x:c r="A10" s="12" t="str">
        <x:v>Reference</x:v>
      </x:c>
      <x:c r="B10" s="12" t="str">
        <x:v>Function</x:v>
      </x:c>
      <x:c r="C10" s="12" t="str">
        <x:v>Manufacturer</x:v>
      </x:c>
      <x:c r="D10" s="12" t="str">
        <x:v>MPN</x:v>
      </x:c>
      <x:c r="E10" s="12" t="str">
        <x:v>LCSC part</x:v>
      </x:c>
      <x:c r="F10" s="12" t="str">
        <x:v>Fitted qty</x:v>
      </x:c>
      <x:c r="G10" s="12" t="str">
        <x:v>MOQ</x:v>
      </x:c>
      <x:c r="H10" s="12" t="str">
        <x:v>Multiple</x:v>
      </x:c>
      <x:c r="I10" s="12" t="str">
        <x:v>Order qty</x:v>
      </x:c>
      <x:c r="J10" s="12" t="str">
        <x:v>Tier start</x:v>
      </x:c>
      <x:c r="K10" s="12" t="str">
        <x:v>Unit USD</x:v>
      </x:c>
      <x:c r="L10" s="12" t="str">
        <x:v>Fitted USD</x:v>
      </x:c>
      <x:c r="M10" s="12" t="str">
        <x:v>Order USD</x:v>
      </x:c>
      <x:c r="N10" s="12" t="str">
        <x:v>Stock qty</x:v>
      </x:c>
      <x:c r="O10" s="12" t="str">
        <x:v>Availability</x:v>
      </x:c>
      <x:c r="P10" s="12" t="str">
        <x:v>Accessed</x:v>
      </x:c>
      <x:c r="Q10" s="12" t="str">
        <x:v>Cache age</x:v>
      </x:c>
      <x:c r="R10" s="1"/>
      <x:c r="S10" s="1" t="str">
        <x:v>LCSC source URL</x:v>
      </x:c>
    </x:row>
    <x:row r="11" ht="36" customHeight="1">
      <x:c r="A11" s="22" t="str">
        <x:v>U1</x:v>
      </x:c>
      <x:c r="B11" s="22" t="str">
        <x:v>Bluetooth audio</x:v>
      </x:c>
      <x:c r="C11" s="22" t="str">
        <x:v>Microchip</x:v>
      </x:c>
      <x:c r="D11" s="22" t="str">
        <x:v>BM83SM1-00TA</x:v>
      </x:c>
      <x:c r="E11" s="22" t="str">
        <x:v>C6752723</x:v>
      </x:c>
      <x:c r="F11" s="23" t="n">
        <x:v>1</x:v>
      </x:c>
      <x:c r="G11" s="13" t="n">
        <x:v>1</x:v>
      </x:c>
      <x:c r="H11" s="13" t="n">
        <x:v>1</x:v>
      </x:c>
      <x:c r="I11" s="14" t="n">
        <x:f>IF(OR(D11="",G11="",H11=""),"",IF(COUNTIF($D$11:D11,D11)&gt;1,0,ROUNDUP(MAX(SUMIF($D$11:$D$111,D11,$F$11:$F$111),G11)/H11,0)*H11))</x:f>
        <x:v>1</x:v>
      </x:c>
      <x:c r="J11" s="6" t="n">
        <x:v>1</x:v>
      </x:c>
      <x:c r="K11" s="28" t="n">
        <x:v>19.6018</x:v>
      </x:c>
      <x:c r="L11" s="30" t="n">
        <x:f>IF(K11="","",ROUND(F11*K11,4))</x:f>
        <x:v>19.6018</x:v>
      </x:c>
      <x:c r="M11" s="30" t="n">
        <x:f>IF(OR(K11="",I11="",N11=""),"",IF(N11&gt;=I11,ROUND(I11*K11,4),""))</x:f>
        <x:v>19.6018</x:v>
      </x:c>
      <x:c r="N11" s="7" t="n">
        <x:v>1</x:v>
      </x:c>
      <x:c r="O11" s="1" t="str">
        <x:v>In stock; part/package/value verified 2026-10-10 against LCSC listing C6752723 (MICROCHIP BM83SM1-00TA, SMD-50P); JLC extended; LCSC stock 1, JLC list stock 1 at lookup vs order qty 1; price is the listed ladder at order qty; re-check at order.</x:v>
      </x:c>
      <x:c r="P11" s="4" t="n">
        <x:v>46305</x:v>
      </x:c>
      <x:c r="Q11" s="1" t="str">
        <x:v>2026-10-10</x:v>
      </x:c>
      <x:c r="R11" s="1"/>
      <x:c r="S11" s="1" t="str">
        <x:v>https://www.lcsc.com/product-detail/C6752723.html</x:v>
      </x:c>
    </x:row>
    <x:row r="12" ht="36" customHeight="1">
      <x:c r="A12" s="22" t="str">
        <x:v>U3</x:v>
      </x:c>
      <x:c r="B12" s="22" t="str">
        <x:v>System control (LQFP64; 128 KB flash, 36 KB RAM)</x:v>
      </x:c>
      <x:c r="C12" s="22" t="str">
        <x:v>ST</x:v>
      </x:c>
      <x:c r="D12" s="22" t="str">
        <x:v>STM32G071RBT6</x:v>
      </x:c>
      <x:c r="E12" s="22" t="str">
        <x:v>C432213</x:v>
      </x:c>
      <x:c r="F12" s="23" t="n">
        <x:v>1</x:v>
      </x:c>
      <x:c r="G12" s="13" t="n">
        <x:v>1</x:v>
      </x:c>
      <x:c r="H12" s="13" t="n">
        <x:v>1</x:v>
      </x:c>
      <x:c r="I12" s="14" t="n">
        <x:f>IF(OR(D12="",G12="",H12=""),"",IF(COUNTIF($D$11:D12,D12)&gt;1,0,ROUNDUP(MAX(SUMIF($D$11:$D$111,D12,$F$11:$F$111),G12)/H12,0)*H12))</x:f>
        <x:v>1</x:v>
      </x:c>
      <x:c r="J12" s="6" t="n">
        <x:v>1</x:v>
      </x:c>
      <x:c r="K12" s="28" t="n">
        <x:v>3.4747</x:v>
      </x:c>
      <x:c r="L12" s="30" t="n">
        <x:f>IF(K12="","",ROUND(F12*K12,4))</x:f>
        <x:v>3.4747</x:v>
      </x:c>
      <x:c r="M12" s="30" t="n">
        <x:f>IF(OR(K12="",I12="",N12=""),"",IF(N12&gt;=I12,ROUND(I12*K12,4),""))</x:f>
        <x:v>3.4747</x:v>
      </x:c>
      <x:c r="N12" s="7" t="n">
        <x:v>842</x:v>
      </x:c>
      <x:c r="O12" s="1" t="str">
        <x:v>In stock; part/package/value verified 2026-10-10 against LCSC listing C432213 (ST STM32G071RBT6, LQFP-64(10x10)); JLC extended; LCSC stock 842, JLC list stock 930 at lookup vs order qty 1; price is the listed ladder at order qty; re-check at order.</x:v>
      </x:c>
      <x:c r="P12" s="4" t="n">
        <x:v>46305</x:v>
      </x:c>
      <x:c r="Q12" s="1" t="str">
        <x:v>2026-10-10</x:v>
      </x:c>
      <x:c r="R12" s="1" t="str">
        <x:v>Replaces STM32G031K8T6 (C432203): audio chain needs about 46 GPIO. Price/stock not re-verified.</x:v>
      </x:c>
      <x:c r="S12" s="1" t="str">
        <x:v>https://www.lcsc.com/product-detail/C432213.html</x:v>
      </x:c>
    </x:row>
    <x:row r="13" ht="36" customHeight="1">
      <x:c r="A13" s="22" t="str">
        <x:v>U4</x:v>
      </x:c>
      <x:c r="B13" s="22" t="str">
        <x:v>Battery charger, 5-20 V 1S buck-boost</x:v>
      </x:c>
      <x:c r="C13" s="22" t="str">
        <x:v>TI</x:v>
      </x:c>
      <x:c r="D13" s="22" t="str">
        <x:v>BQ25792RQMR</x:v>
      </x:c>
      <x:c r="E13" s="22" t="str">
        <x:v>C2862876</x:v>
      </x:c>
      <x:c r="F13" s="23" t="n">
        <x:v>1</x:v>
      </x:c>
      <x:c r="G13" s="13" t="n">
        <x:v>1</x:v>
      </x:c>
      <x:c r="H13" s="13" t="n">
        <x:v>1</x:v>
      </x:c>
      <x:c r="I13" s="14" t="n">
        <x:f>IF(OR(D13="",G13="",H13=""),"",IF(COUNTIF($D$11:D13,D13)&gt;1,0,ROUNDUP(MAX(SUMIF($D$11:$D$111,D13,$F$11:$F$111),G13)/H13,0)*H13))</x:f>
        <x:v>1</x:v>
      </x:c>
      <x:c r="J13" s="6" t="n">
        <x:v>1</x:v>
      </x:c>
      <x:c r="K13" s="28" t="n">
        <x:v>2.0489</x:v>
      </x:c>
      <x:c r="L13" s="30" t="n">
        <x:f>IF(K13="","",ROUND(F13*K13,4))</x:f>
        <x:v>2.0489</x:v>
      </x:c>
      <x:c r="M13" s="30" t="n">
        <x:f>IF(OR(K13="",I13="",N13=""),"",IF(N13&gt;=I13,ROUND(I13*K13,4),""))</x:f>
        <x:v>2.0489</x:v>
      </x:c>
      <x:c r="N13" s="7" t="n">
        <x:v>2605</x:v>
      </x:c>
      <x:c r="O13" s="1" t="str">
        <x:v>In stock; part/package/value verified 2026-10-10 against LCSC listing C2862876 (TI BQ25792RQMR, QFN-29(4x4)); JLC extended; LCSC stock 2605, JLC list stock 2605 at lookup vs order qty 1; price is the listed ladder at order qty; re-check at order.</x:v>
      </x:c>
      <x:c r="P13" s="4" t="n">
        <x:v>46305</x:v>
      </x:c>
      <x:c r="Q13" s="1" t="str">
        <x:v>2026-10-10</x:v>
      </x:c>
      <x:c r="R13" s="1" t="str">
        <x:v>Replaces BQ25895. Review snapshot: US$2.0489 (1+), 4,970 in stock; not re-verified at this BOM freeze, so excluded from priced subtotal.</x:v>
      </x:c>
      <x:c r="S13" s="1" t="str">
        <x:v>https://www.lcsc.com/product-detail/C2862876.html</x:v>
      </x:c>
    </x:row>
    <x:row r="14" ht="36" customHeight="1">
      <x:c r="A14" s="22" t="str">
        <x:v>U5</x:v>
      </x:c>
      <x:c r="B14" s="22" t="str">
        <x:v>Battery fuel gauge</x:v>
      </x:c>
      <x:c r="C14" s="22" t="str">
        <x:v>Maxim</x:v>
      </x:c>
      <x:c r="D14" s="22" t="str">
        <x:v>MAX17048G+T10</x:v>
      </x:c>
      <x:c r="E14" s="22" t="str">
        <x:v>C2682616</x:v>
      </x:c>
      <x:c r="F14" s="23" t="n">
        <x:v>1</x:v>
      </x:c>
      <x:c r="G14" s="13" t="n">
        <x:v>1</x:v>
      </x:c>
      <x:c r="H14" s="13" t="n">
        <x:v>1</x:v>
      </x:c>
      <x:c r="I14" s="14" t="n">
        <x:f>IF(OR(D14="",G14="",H14=""),"",IF(COUNTIF($D$11:D14,D14)&gt;1,0,ROUNDUP(MAX(SUMIF($D$11:$D$111,D14,$F$11:$F$111),G14)/H14,0)*H14))</x:f>
        <x:v>1</x:v>
      </x:c>
      <x:c r="J14" s="6" t="n">
        <x:v>1</x:v>
      </x:c>
      <x:c r="K14" s="28" t="n">
        <x:v>2.1654</x:v>
      </x:c>
      <x:c r="L14" s="30" t="n">
        <x:f>IF(K14="","",ROUND(F14*K14,4))</x:f>
        <x:v>2.1654</x:v>
      </x:c>
      <x:c r="M14" s="30" t="n">
        <x:f>IF(OR(K14="",I14="",N14=""),"",IF(N14&gt;=I14,ROUND(I14*K14,4),""))</x:f>
        <x:v>2.1654</x:v>
      </x:c>
      <x:c r="N14" s="7" t="n">
        <x:v>23798</x:v>
      </x:c>
      <x:c r="O14" s="1" t="str">
        <x:v>In stock; part/package/value verified 2026-10-10 against LCSC listing C2682616 (MAXIM MAX17048G+T10, DFN-8-EP(2x2)); JLC extended; LCSC stock 23798, JLC list stock 23798 at lookup vs order qty 1; price is the listed ladder at order qty; re-check at order.</x:v>
      </x:c>
      <x:c r="P14" s="4" t="n">
        <x:v>46305</x:v>
      </x:c>
      <x:c r="Q14" s="1" t="str">
        <x:v>2026-10-10</x:v>
      </x:c>
      <x:c r="R14" s="1"/>
      <x:c r="S14" s="1" t="str">
        <x:v>https://www.lcsc.com/product-detail/C2682616.html</x:v>
      </x:c>
    </x:row>
    <x:row r="15" ht="36" customHeight="1">
      <x:c r="A15" s="22" t="str">
        <x:v>U2</x:v>
      </x:c>
      <x:c r="B15" s="22" t="str">
        <x:v>USB audio codec</x:v>
      </x:c>
      <x:c r="C15" s="22" t="str">
        <x:v>TI</x:v>
      </x:c>
      <x:c r="D15" s="22" t="str">
        <x:v>PCM2902CDBR</x:v>
      </x:c>
      <x:c r="E15" s="22" t="str">
        <x:v>C2651869</x:v>
      </x:c>
      <x:c r="F15" s="23" t="n">
        <x:v>1</x:v>
      </x:c>
      <x:c r="G15" s="13" t="n">
        <x:v>1</x:v>
      </x:c>
      <x:c r="H15" s="13" t="n">
        <x:v>1</x:v>
      </x:c>
      <x:c r="I15" s="14" t="n">
        <x:f>IF(OR(D15="",G15="",H15=""),"",IF(COUNTIF($D$11:D15,D15)&gt;1,0,ROUNDUP(MAX(SUMIF($D$11:$D$111,D15,$F$11:$F$111),G15)/H15,0)*H15))</x:f>
        <x:v>1</x:v>
      </x:c>
      <x:c r="J15" s="6" t="n">
        <x:v>1</x:v>
      </x:c>
      <x:c r="K15" s="28" t="n">
        <x:v>12.2137</x:v>
      </x:c>
      <x:c r="L15" s="30" t="n">
        <x:f>IF(K15="","",ROUND(F15*K15,4))</x:f>
        <x:v>12.2137</x:v>
      </x:c>
      <x:c r="M15" s="30" t="n">
        <x:f>IF(OR(K15="",I15="",N15=""),"",IF(N15&gt;=I15,ROUND(I15*K15,4),""))</x:f>
        <x:v>12.2137</x:v>
      </x:c>
      <x:c r="N15" s="7" t="n">
        <x:v>3</x:v>
      </x:c>
      <x:c r="O15" s="1" t="str">
        <x:v>In stock; part/package/value verified 2026-10-10 against LCSC listing C2651869 (TI PCM2902CDBR, SSOP-28); JLC extended; LCSC stock 3, JLC list stock 3 at lookup vs order qty 1; price is the listed ladder at order qty; re-check at order.</x:v>
      </x:c>
      <x:c r="P15" s="4" t="n">
        <x:v>46305</x:v>
      </x:c>
      <x:c r="Q15" s="1" t="str">
        <x:v>2026-10-10</x:v>
      </x:c>
      <x:c r="R15" s="1"/>
      <x:c r="S15" s="1" t="str">
        <x:v>https://www.lcsc.com/product-detail/C2651869.html</x:v>
      </x:c>
    </x:row>
    <x:row r="16" ht="36" customHeight="1">
      <x:c r="A16" s="22" t="str">
        <x:v>U6, U7</x:v>
      </x:c>
      <x:c r="B16" s="22" t="str">
        <x:v>Speaker amplifiers</x:v>
      </x:c>
      <x:c r="C16" s="22" t="str">
        <x:v>TI</x:v>
      </x:c>
      <x:c r="D16" s="22" t="str">
        <x:v>TAS5825MRHBR</x:v>
      </x:c>
      <x:c r="E16" s="22" t="str">
        <x:v>C471049</x:v>
      </x:c>
      <x:c r="F16" s="23" t="n">
        <x:v>2</x:v>
      </x:c>
      <x:c r="G16" s="13" t="n">
        <x:v>1</x:v>
      </x:c>
      <x:c r="H16" s="13" t="n">
        <x:v>1</x:v>
      </x:c>
      <x:c r="I16" s="14" t="n">
        <x:f>IF(OR(D16="",G16="",H16=""),"",IF(COUNTIF($D$11:D16,D16)&gt;1,0,ROUNDUP(MAX(SUMIF($D$11:$D$111,D16,$F$11:$F$111),G16)/H16,0)*H16))</x:f>
        <x:v>2</x:v>
      </x:c>
      <x:c r="J16" s="6" t="n">
        <x:v>1</x:v>
      </x:c>
      <x:c r="K16" s="28" t="n">
        <x:v>2.7394</x:v>
      </x:c>
      <x:c r="L16" s="30" t="n">
        <x:f>IF(K16="","",ROUND(F16*K16,4))</x:f>
        <x:v>5.4788</x:v>
      </x:c>
      <x:c r="M16" s="30" t="n">
        <x:f>IF(OR(K16="",I16="",N16=""),"",IF(N16&gt;=I16,ROUND(I16*K16,4),""))</x:f>
        <x:v>5.4788</x:v>
      </x:c>
      <x:c r="N16" s="7" t="n">
        <x:v>96</x:v>
      </x:c>
      <x:c r="O16" s="1" t="str">
        <x:v>In stock; part/package/value verified 2026-10-10 against LCSC listing C471049 (TI TAS5825MRHBR, VQFN-32(5x5)); JLC extended; LCSC stock 96, JLC list stock 96 at lookup vs order qty 2; price is the listed ladder at order qty; re-check at order.</x:v>
      </x:c>
      <x:c r="P16" s="4" t="n">
        <x:v>46305</x:v>
      </x:c>
      <x:c r="Q16" s="1" t="str">
        <x:v>2026-10-10</x:v>
      </x:c>
      <x:c r="R16" s="1"/>
      <x:c r="S16" s="1" t="str">
        <x:v>https://www.lcsc.com/product-detail/C471049.html</x:v>
      </x:c>
    </x:row>
    <x:row r="17" ht="36" customHeight="1">
      <x:c r="A17" s="22" t="str">
        <x:v>J1</x:v>
      </x:c>
      <x:c r="B17" s="22" t="str">
        <x:v>USB-C receptacle</x:v>
      </x:c>
      <x:c r="C17" s="22" t="str">
        <x:v>Korean Hroparts Elec</x:v>
      </x:c>
      <x:c r="D17" s="22" t="str">
        <x:v>TYPE-C-31-M-12</x:v>
      </x:c>
      <x:c r="E17" s="22" t="str">
        <x:v>C165948</x:v>
      </x:c>
      <x:c r="F17" s="23" t="n">
        <x:v>1</x:v>
      </x:c>
      <x:c r="G17" s="13" t="n">
        <x:v>5</x:v>
      </x:c>
      <x:c r="H17" s="13" t="n">
        <x:v>5</x:v>
      </x:c>
      <x:c r="I17" s="14" t="n">
        <x:f>IF(OR(D17="",G17="",H17=""),"",IF(COUNTIF($D$11:D17,D17)&gt;1,0,ROUNDUP(MAX(SUMIF($D$11:$D$111,D17,$F$11:$F$111),G17)/H17,0)*H17))</x:f>
        <x:v>5</x:v>
      </x:c>
      <x:c r="J17" s="6" t="n">
        <x:v>5</x:v>
      </x:c>
      <x:c r="K17" s="28" t="n">
        <x:v>0.1879</x:v>
      </x:c>
      <x:c r="L17" s="30" t="n">
        <x:f>IF(K17="","",ROUND(F17*K17,4))</x:f>
        <x:v>0.1879</x:v>
      </x:c>
      <x:c r="M17" s="30" t="n">
        <x:f>IF(OR(K17="",I17="",N17=""),"",IF(N17&gt;=I17,ROUND(I17*K17,4),""))</x:f>
        <x:v>0.9395</x:v>
      </x:c>
      <x:c r="N17" s="7" t="n">
        <x:v>389160</x:v>
      </x:c>
      <x:c r="O17" s="1" t="str">
        <x:v>In stock; part/package/value verified 2026-10-10 against LCSC listing C165948 (Korean Hroparts Elec TYPE-C-31-M-12, SMD); JLC extended; LCSC stock 389160, JLC list stock 412966 at lookup vs order qty 5; price is the listed ladder at order qty; re-check at order.</x:v>
      </x:c>
      <x:c r="P17" s="4" t="n">
        <x:v>46305</x:v>
      </x:c>
      <x:c r="Q17" s="1" t="str">
        <x:v>2026-10-10</x:v>
      </x:c>
      <x:c r="R17" s="1"/>
      <x:c r="S17" s="1" t="str">
        <x:v>https://www.lcsc.com/product-detail/C165948.html</x:v>
      </x:c>
    </x:row>
    <x:row r="18" ht="36" customHeight="1">
      <x:c r="A18" s="22" t="str">
        <x:v>J2, J3</x:v>
      </x:c>
      <x:c r="B18" s="22" t="str">
        <x:v>Headphones / line-in</x:v>
      </x:c>
      <x:c r="C18" s="22" t="str">
        <x:v>HOOYA</x:v>
      </x:c>
      <x:c r="D18" s="22" t="str">
        <x:v>PJ-307</x:v>
      </x:c>
      <x:c r="E18" s="22" t="str">
        <x:v>C2939173</x:v>
      </x:c>
      <x:c r="F18" s="23" t="n">
        <x:v>2</x:v>
      </x:c>
      <x:c r="G18" s="13" t="n">
        <x:v>5</x:v>
      </x:c>
      <x:c r="H18" s="13" t="n">
        <x:v>5</x:v>
      </x:c>
      <x:c r="I18" s="14" t="n">
        <x:f>IF(OR(D18="",G18="",H18=""),"",IF(COUNTIF($D$11:D18,D18)&gt;1,0,ROUNDUP(MAX(SUMIF($D$11:$D$111,D18,$F$11:$F$111),G18)/H18,0)*H18))</x:f>
        <x:v>5</x:v>
      </x:c>
      <x:c r="J18" s="6" t="n">
        <x:v>5</x:v>
      </x:c>
      <x:c r="K18" s="28" t="n">
        <x:v>0.1599</x:v>
      </x:c>
      <x:c r="L18" s="30" t="n">
        <x:f>IF(K18="","",ROUND(F18*K18,4))</x:f>
        <x:v>0.3198</x:v>
      </x:c>
      <x:c r="M18" s="30" t="n">
        <x:f>IF(OR(K18="",I18="",N18=""),"",IF(N18&gt;=I18,ROUND(I18*K18,4),""))</x:f>
        <x:v>0.7995</x:v>
      </x:c>
      <x:c r="N18" s="7" t="n">
        <x:v>1025</x:v>
      </x:c>
      <x:c r="O18" s="1" t="str">
        <x:v>In stock; part/package/value verified 2026-10-10 against LCSC listing C2939173 (HOOYA PJ-307, Through Hole); JLC extended; LCSC stock 1025, JLC list stock 1025 at lookup vs order qty 5; price is the listed ladder at order qty; re-check at order.</x:v>
      </x:c>
      <x:c r="P18" s="4" t="n">
        <x:v>46305</x:v>
      </x:c>
      <x:c r="Q18" s="1" t="str">
        <x:v>2026-10-10</x:v>
      </x:c>
      <x:c r="R18" s="1"/>
      <x:c r="S18" s="1" t="str">
        <x:v>https://www.lcsc.com/product-detail/C2939173.html</x:v>
      </x:c>
    </x:row>
    <x:row r="19" ht="36" customHeight="1">
      <x:c r="A19" s="22" t="str">
        <x:v>U8, U9</x:v>
      </x:c>
      <x:c r="B19" s="22" t="str">
        <x:v>Audio routing</x:v>
      </x:c>
      <x:c r="C19" s="22" t="str">
        <x:v>TI</x:v>
      </x:c>
      <x:c r="D19" s="22" t="str">
        <x:v>TS5A23157DGSR</x:v>
      </x:c>
      <x:c r="E19" s="22" t="str">
        <x:v>C11133</x:v>
      </x:c>
      <x:c r="F19" s="23" t="n">
        <x:v>2</x:v>
      </x:c>
      <x:c r="G19" s="13" t="n">
        <x:v>1</x:v>
      </x:c>
      <x:c r="H19" s="13" t="n">
        <x:v>1</x:v>
      </x:c>
      <x:c r="I19" s="14" t="n">
        <x:f>IF(OR(D19="",G19="",H19=""),"",IF(COUNTIF($D$11:D19,D19)&gt;1,0,ROUNDUP(MAX(SUMIF($D$11:$D$111,D19,$F$11:$F$111),G19)/H19,0)*H19))</x:f>
        <x:v>2</x:v>
      </x:c>
      <x:c r="J19" s="6" t="n">
        <x:v>1</x:v>
      </x:c>
      <x:c r="K19" s="28" t="n">
        <x:v>0.4466</x:v>
      </x:c>
      <x:c r="L19" s="30" t="n">
        <x:f>IF(K19="","",ROUND(F19*K19,4))</x:f>
        <x:v>0.8932</x:v>
      </x:c>
      <x:c r="M19" s="30" t="n">
        <x:f>IF(OR(K19="",I19="",N19=""),"",IF(N19&gt;=I19,ROUND(I19*K19,4),""))</x:f>
        <x:v>0.8932</x:v>
      </x:c>
      <x:c r="N19" s="7" t="n">
        <x:v>852</x:v>
      </x:c>
      <x:c r="O19" s="1" t="str">
        <x:v>In stock; part/package/value verified 2026-10-10 against LCSC listing C11133 (TI TS5A23157DGSR, MSOP-10); JLC extended; LCSC stock 852, JLC list stock 852 at lookup vs order qty 2; price is the listed ladder at order qty; re-check at order.</x:v>
      </x:c>
      <x:c r="P19" s="4" t="n">
        <x:v>46305</x:v>
      </x:c>
      <x:c r="Q19" s="1" t="str">
        <x:v>2026-10-10</x:v>
      </x:c>
      <x:c r="R19" s="1"/>
      <x:c r="S19" s="1" t="str">
        <x:v>https://www.lcsc.com/product-detail/C11133.html</x:v>
      </x:c>
    </x:row>
    <x:row r="20" ht="36" customHeight="1">
      <x:c r="A20" s="22" t="str">
        <x:v>U10</x:v>
      </x:c>
      <x:c r="B20" s="22" t="str">
        <x:v>Headphone amplifier</x:v>
      </x:c>
      <x:c r="C20" s="22" t="str">
        <x:v>TI</x:v>
      </x:c>
      <x:c r="D20" s="22" t="str">
        <x:v>TPA6132A2RTER</x:v>
      </x:c>
      <x:c r="E20" s="22" t="str">
        <x:v>C69901</x:v>
      </x:c>
      <x:c r="F20" s="23" t="n">
        <x:v>1</x:v>
      </x:c>
      <x:c r="G20" s="13" t="n">
        <x:v>1</x:v>
      </x:c>
      <x:c r="H20" s="13" t="n">
        <x:v>1</x:v>
      </x:c>
      <x:c r="I20" s="14" t="n">
        <x:f>IF(OR(D20="",G20="",H20=""),"",IF(COUNTIF($D$11:D20,D20)&gt;1,0,ROUNDUP(MAX(SUMIF($D$11:$D$111,D20,$F$11:$F$111),G20)/H20,0)*H20))</x:f>
        <x:v>1</x:v>
      </x:c>
      <x:c r="J20" s="6" t="n">
        <x:v>1</x:v>
      </x:c>
      <x:c r="K20" s="28" t="n">
        <x:v>1.9919</x:v>
      </x:c>
      <x:c r="L20" s="30" t="n">
        <x:f>IF(K20="","",ROUND(F20*K20,4))</x:f>
        <x:v>1.9919</x:v>
      </x:c>
      <x:c r="M20" s="30" t="n">
        <x:f>IF(OR(K20="",I20="",N20=""),"",IF(N20&gt;=I20,ROUND(I20*K20,4),""))</x:f>
        <x:v>1.9919</x:v>
      </x:c>
      <x:c r="N20" s="7" t="n">
        <x:v>451</x:v>
      </x:c>
      <x:c r="O20" s="1" t="str">
        <x:v>In stock; part/package/value verified 2026-10-10 against LCSC listing C69901 (TI TPA6132A2RTER, WQFN-16-EP(3x3)); JLC extended; LCSC stock 451, JLC list stock 451 at lookup vs order qty 1; price is the listed ladder at order qty; re-check at order.</x:v>
      </x:c>
      <x:c r="P20" s="4" t="n">
        <x:v>46305</x:v>
      </x:c>
      <x:c r="Q20" s="1" t="str">
        <x:v>2026-10-10</x:v>
      </x:c>
      <x:c r="R20" s="1"/>
      <x:c r="S20" s="1" t="str">
        <x:v>https://www.lcsc.com/product-detail/C69901.html</x:v>
      </x:c>
    </x:row>
    <x:row r="21" ht="36" customHeight="1">
      <x:c r="A21" s="22" t="str">
        <x:v>D1</x:v>
      </x:c>
      <x:c r="B21" s="22" t="str">
        <x:v>USB data ESD</x:v>
      </x:c>
      <x:c r="C21" s="22" t="str">
        <x:v>TI</x:v>
      </x:c>
      <x:c r="D21" s="22" t="str">
        <x:v>TPD2E2U06DRLR</x:v>
      </x:c>
      <x:c r="E21" s="22" t="str">
        <x:v>C1972959</x:v>
      </x:c>
      <x:c r="F21" s="23" t="n">
        <x:v>1</x:v>
      </x:c>
      <x:c r="G21" s="13" t="n">
        <x:v>5</x:v>
      </x:c>
      <x:c r="H21" s="13" t="n">
        <x:v>5</x:v>
      </x:c>
      <x:c r="I21" s="14" t="n">
        <x:f>IF(OR(D21="",G21="",H21=""),"",IF(COUNTIF($D$11:D21,D21)&gt;1,0,ROUNDUP(MAX(SUMIF($D$11:$D$111,D21,$F$11:$F$111),G21)/H21,0)*H21))</x:f>
        <x:v>5</x:v>
      </x:c>
      <x:c r="J21" s="6" t="n">
        <x:v>5</x:v>
      </x:c>
      <x:c r="K21" s="28" t="n">
        <x:v>0.3254</x:v>
      </x:c>
      <x:c r="L21" s="30" t="n">
        <x:f>IF(K21="","",ROUND(F21*K21,4))</x:f>
        <x:v>0.3254</x:v>
      </x:c>
      <x:c r="M21" s="30" t="n">
        <x:f>IF(OR(K21="",I21="",N21=""),"",IF(N21&gt;=I21,ROUND(I21*K21,4),""))</x:f>
        <x:v>1.627</x:v>
      </x:c>
      <x:c r="N21" s="7" t="n">
        <x:v>6535</x:v>
      </x:c>
      <x:c r="O21" s="1" t="str">
        <x:v>In stock; part/package/value verified 2026-10-10 against LCSC listing C1972959 (TI TPD2E2U06DRLR, SOT-553-5); JLC extended; LCSC stock 6535, JLC list stock 6535 at lookup vs order qty 5; price is the listed ladder at order qty; re-check at order.</x:v>
      </x:c>
      <x:c r="P21" s="4" t="n">
        <x:v>46305</x:v>
      </x:c>
      <x:c r="Q21" s="1" t="str">
        <x:v>2026-10-10</x:v>
      </x:c>
      <x:c r="R21" s="1"/>
      <x:c r="S21" s="1" t="str">
        <x:v>https://www.lcsc.com/product-detail/C1972959.html</x:v>
      </x:c>
    </x:row>
    <x:row r="22" ht="36" customHeight="1">
      <x:c r="A22" s="22" t="str">
        <x:v>U11</x:v>
      </x:c>
      <x:c r="B22" s="22" t="str">
        <x:v>USB-C PD 5-20 V sink controller</x:v>
      </x:c>
      <x:c r="C22" s="22" t="str">
        <x:v>TI</x:v>
      </x:c>
      <x:c r="D22" s="22" t="str">
        <x:v>TPS25730DREFR</x:v>
      </x:c>
      <x:c r="E22" s="22" t="str">
        <x:v>C22438973</x:v>
      </x:c>
      <x:c r="F22" s="23" t="n">
        <x:v>1</x:v>
      </x:c>
      <x:c r="G22" s="13" t="n">
        <x:v>1</x:v>
      </x:c>
      <x:c r="H22" s="13" t="n">
        <x:v>1</x:v>
      </x:c>
      <x:c r="I22" s="14" t="n">
        <x:f>IF(OR(D22="",G22="",H22=""),"",IF(COUNTIF($D$11:D22,D22)&gt;1,0,ROUNDUP(MAX(SUMIF($D$11:$D$111,D22,$F$11:$F$111),G22)/H22,0)*H22))</x:f>
        <x:v>1</x:v>
      </x:c>
      <x:c r="J22" s="6" t="n">
        <x:v>1</x:v>
      </x:c>
      <x:c r="K22" s="28" t="n">
        <x:v>3.0105</x:v>
      </x:c>
      <x:c r="L22" s="30" t="n">
        <x:f>IF(K22="","",ROUND(F22*K22,4))</x:f>
        <x:v>3.0105</x:v>
      </x:c>
      <x:c r="M22" s="30" t="n">
        <x:f>IF(OR(K22="",I22="",N22=""),"",IF(N22&gt;=I22,ROUND(I22*K22,4),""))</x:f>
        <x:v>3.0105</x:v>
      </x:c>
      <x:c r="N22" s="7" t="n">
        <x:v>320</x:v>
      </x:c>
      <x:c r="O22" s="1" t="str">
        <x:v>In stock; part/package/value verified 2026-10-10 against LCSC listing C22438973 (TI TPS25730DREFR, QFN-38(4x6)); JLC extended; LCSC stock 320, JLC list stock 320 at lookup vs order qty 1; price is the listed ladder at order qty; re-check at order.</x:v>
      </x:c>
      <x:c r="P22" s="4" t="n">
        <x:v>46305</x:v>
      </x:c>
      <x:c r="Q22" s="1" t="str">
        <x:v>2026-10-10</x:v>
      </x:c>
      <x:c r="R22" s="1" t="str">
        <x:v>Replaces STUSB4500 and Q1/Q2/U18/U19-front-end parts. Review snapshot: US$3.0105 (1+), 381 in stock; not re-verified.</x:v>
      </x:c>
      <x:c r="S22" s="1" t="str">
        <x:v>https://www.lcsc.com/product-detail/C22438973.html</x:v>
      </x:c>
    </x:row>
    <x:row r="23" ht="36" customHeight="1">
      <x:c r="A23" s="22" t="str">
        <x:v>U12</x:v>
      </x:c>
      <x:c r="B23" s="22" t="str">
        <x:v>3.0 V always-on LDO</x:v>
      </x:c>
      <x:c r="C23" s="22" t="str">
        <x:v>TI</x:v>
      </x:c>
      <x:c r="D23" s="22" t="str">
        <x:v>TPS7A0230PDBVR</x:v>
      </x:c>
      <x:c r="E23" s="22" t="str">
        <x:v>C3747031</x:v>
      </x:c>
      <x:c r="F23" s="23" t="n">
        <x:v>1</x:v>
      </x:c>
      <x:c r="G23" s="13" t="n">
        <x:v>1</x:v>
      </x:c>
      <x:c r="H23" s="13" t="n">
        <x:v>1</x:v>
      </x:c>
      <x:c r="I23" s="14" t="n">
        <x:f>IF(OR(D23="",G23="",H23=""),"",IF(COUNTIF($D$11:D23,D23)&gt;1,0,ROUNDUP(MAX(SUMIF($D$11:$D$111,D23,$F$11:$F$111),G23)/H23,0)*H23))</x:f>
        <x:v>1</x:v>
      </x:c>
      <x:c r="J23" s="6" t="n">
        <x:v>1</x:v>
      </x:c>
      <x:c r="K23" s="28" t="n">
        <x:v>0.452</x:v>
      </x:c>
      <x:c r="L23" s="30" t="n">
        <x:f>IF(K23="","",ROUND(F23*K23,4))</x:f>
        <x:v>0.452</x:v>
      </x:c>
      <x:c r="M23" s="30" t="n">
        <x:f>IF(OR(K23="",I23="",N23=""),"",IF(N23&gt;=I23,ROUND(I23*K23,4),""))</x:f>
        <x:v>0.452</x:v>
      </x:c>
      <x:c r="N23" s="7" t="n">
        <x:v>37158</x:v>
      </x:c>
      <x:c r="O23" s="1" t="str">
        <x:v>In stock; part/package/value verified 2026-10-10 against LCSC listing C3747031 (TI TPS7A0230PDBVR, SOT-23-5); JLC extended; LCSC stock 37158, JLC list stock 37158 at lookup vs order qty 1; price is the listed ladder at order qty; re-check at order.</x:v>
      </x:c>
      <x:c r="P23" s="4" t="n">
        <x:v>46305</x:v>
      </x:c>
      <x:c r="Q23" s="1" t="str">
        <x:v>2026-10-10</x:v>
      </x:c>
      <x:c r="R23" s="1"/>
      <x:c r="S23" s="1" t="str">
        <x:v>https://www.lcsc.com/product-detail/C3747031.html</x:v>
      </x:c>
    </x:row>
    <x:row r="24" ht="36" customHeight="1">
      <x:c r="A24" s="22" t="str">
        <x:v>U13, U16, U17</x:v>
      </x:c>
      <x:c r="B24" s="22" t="str">
        <x:v>Low-current gauge signal isolation</x:v>
      </x:c>
      <x:c r="C24" s="22" t="str">
        <x:v>TI</x:v>
      </x:c>
      <x:c r="D24" s="22" t="str">
        <x:v>TS5A3167DBVR</x:v>
      </x:c>
      <x:c r="E24" s="22" t="str">
        <x:v>C128416</x:v>
      </x:c>
      <x:c r="F24" s="23" t="n">
        <x:v>3</x:v>
      </x:c>
      <x:c r="G24" s="13" t="n">
        <x:v>5</x:v>
      </x:c>
      <x:c r="H24" s="13" t="n">
        <x:v>5</x:v>
      </x:c>
      <x:c r="I24" s="14" t="n">
        <x:f>IF(OR(D24="",G24="",H24=""),"",IF(COUNTIF($D$11:D24,D24)&gt;1,0,ROUNDUP(MAX(SUMIF($D$11:$D$111,D24,$F$11:$F$111),G24)/H24,0)*H24))</x:f>
        <x:v>5</x:v>
      </x:c>
      <x:c r="J24" s="6" t="n">
        <x:v>5</x:v>
      </x:c>
      <x:c r="K24" s="28" t="n">
        <x:v>0.3187</x:v>
      </x:c>
      <x:c r="L24" s="30" t="n">
        <x:f>IF(K24="","",ROUND(F24*K24,4))</x:f>
        <x:v>0.9561</x:v>
      </x:c>
      <x:c r="M24" s="30" t="n">
        <x:f>IF(OR(K24="",I24="",N24=""),"",IF(N24&gt;=I24,ROUND(I24*K24,4),""))</x:f>
        <x:v>1.5935</x:v>
      </x:c>
      <x:c r="N24" s="7" t="n">
        <x:v>11590</x:v>
      </x:c>
      <x:c r="O24" s="1" t="str">
        <x:v>In stock; part/package/value verified 2026-10-10 against LCSC listing C128416 (TI TS5A3167DBVR, SOT-23-5); JLC extended; LCSC stock 11590, JLC list stock 11632 at lookup vs order qty 5; price is the listed ladder at order qty; re-check at order.</x:v>
      </x:c>
      <x:c r="P24" s="4" t="n">
        <x:v>46305</x:v>
      </x:c>
      <x:c r="Q24" s="1" t="str">
        <x:v>2026-10-10</x:v>
      </x:c>
      <x:c r="R24" s="1"/>
      <x:c r="S24" s="1" t="str">
        <x:v>https://www.lcsc.com/product-detail/C128416.html</x:v>
      </x:c>
    </x:row>
    <x:row r="25" ht="36" customHeight="1">
      <x:c r="A25" s="22" t="str">
        <x:v>Q100, Q101, Q102, Q104</x:v>
      </x:c>
      <x:c r="B25" s="22" t="str">
        <x:v>Charger CE, ILIM_HIZ and gauge-enable NMOS</x:v>
      </x:c>
      <x:c r="C25" s="22" t="str">
        <x:v>Nexperia</x:v>
      </x:c>
      <x:c r="D25" s="22" t="str">
        <x:v>2N7002,215</x:v>
      </x:c>
      <x:c r="E25" s="22" t="str">
        <x:v>C65189</x:v>
      </x:c>
      <x:c r="F25" s="23" t="n">
        <x:v>4</x:v>
      </x:c>
      <x:c r="G25" s="13" t="n">
        <x:v>20</x:v>
      </x:c>
      <x:c r="H25" s="13" t="n">
        <x:v>20</x:v>
      </x:c>
      <x:c r="I25" s="14" t="n">
        <x:f>IF(OR(D25="",G25="",H25=""),"",IF(COUNTIF($D$11:D25,D25)&gt;1,0,ROUNDUP(MAX(SUMIF($D$11:$D$111,D25,$F$11:$F$111),G25)/H25,0)*H25))</x:f>
        <x:v>20</x:v>
      </x:c>
      <x:c r="J25" s="6" t="n">
        <x:v>20</x:v>
      </x:c>
      <x:c r="K25" s="28" t="n">
        <x:v>0.0184</x:v>
      </x:c>
      <x:c r="L25" s="30" t="n">
        <x:f>IF(K25="","",ROUND(F25*K25,4))</x:f>
        <x:v>0.0736</x:v>
      </x:c>
      <x:c r="M25" s="30" t="n">
        <x:f>IF(OR(K25="",I25="",N25=""),"",IF(N25&gt;=I25,ROUND(I25*K25,4),""))</x:f>
        <x:v>0.368</x:v>
      </x:c>
      <x:c r="N25" s="7" t="n">
        <x:v>133920</x:v>
      </x:c>
      <x:c r="O25" s="1" t="str">
        <x:v>In stock; part/package/value verified 2026-10-10 against LCSC listing C65189 (Nexperia 2N7002,215, SOT-23); JLC extended; LCSC stock 133920, JLC list stock 135495 at lookup vs order qty 20; price is the listed ladder at order qty; re-check at order.</x:v>
      </x:c>
      <x:c r="P25" s="4" t="n">
        <x:v>46305</x:v>
      </x:c>
      <x:c r="Q25" s="1" t="str">
        <x:v>2026-10-10</x:v>
      </x:c>
      <x:c r="R25" s="1"/>
      <x:c r="S25" s="1" t="str">
        <x:v>https://www.lcsc.com/product-detail/C65189.html</x:v>
      </x:c>
    </x:row>
    <x:row r="26" ht="36" customHeight="1">
      <x:c r="A26" s="22" t="str">
        <x:v>D5</x:v>
      </x:c>
      <x:c r="B26" s="22" t="str">
        <x:v>USB-C CC protection</x:v>
      </x:c>
      <x:c r="C26" s="22" t="str">
        <x:v>ST</x:v>
      </x:c>
      <x:c r="D26" s="22" t="str">
        <x:v>ESDA25L</x:v>
      </x:c>
      <x:c r="E26" s="22" t="str">
        <x:v>C95343</x:v>
      </x:c>
      <x:c r="F26" s="23" t="n">
        <x:v>1</x:v>
      </x:c>
      <x:c r="G26" s="13" t="n">
        <x:v>5</x:v>
      </x:c>
      <x:c r="H26" s="13" t="n">
        <x:v>5</x:v>
      </x:c>
      <x:c r="I26" s="14" t="n">
        <x:f>IF(OR(D26="",G26="",H26=""),"",IF(COUNTIF($D$11:D26,D26)&gt;1,0,ROUNDUP(MAX(SUMIF($D$11:$D$111,D26,$F$11:$F$111),G26)/H26,0)*H26))</x:f>
        <x:v>5</x:v>
      </x:c>
      <x:c r="J26" s="6" t="n">
        <x:v>5</x:v>
      </x:c>
      <x:c r="K26" s="28" t="n">
        <x:v>0.0971</x:v>
      </x:c>
      <x:c r="L26" s="30" t="n">
        <x:f>IF(K26="","",ROUND(F26*K26,4))</x:f>
        <x:v>0.0971</x:v>
      </x:c>
      <x:c r="M26" s="30" t="n">
        <x:f>IF(OR(K26="",I26="",N26=""),"",IF(N26&gt;=I26,ROUND(I26*K26,4),""))</x:f>
        <x:v>0.4855</x:v>
      </x:c>
      <x:c r="N26" s="7" t="n">
        <x:v>1585</x:v>
      </x:c>
      <x:c r="O26" s="1" t="str">
        <x:v>In stock; part/package/value verified 2026-10-10 against LCSC listing C95343 (ST ESDA25L, SOT-23); JLC extended; LCSC stock 1585, JLC list stock 1586 at lookup vs order qty 5; price is the listed ladder at order qty; re-check at order.</x:v>
      </x:c>
      <x:c r="P26" s="4" t="n">
        <x:v>46305</x:v>
      </x:c>
      <x:c r="Q26" s="1" t="str">
        <x:v>2026-10-10</x:v>
      </x:c>
      <x:c r="R26" s="1"/>
      <x:c r="S26" s="1" t="str">
        <x:v>https://www.lcsc.com/product-detail/C95343.html</x:v>
      </x:c>
    </x:row>
    <x:row r="27" ht="36" customHeight="1">
      <x:c r="A27" s="22" t="str">
        <x:v>D6</x:v>
      </x:c>
      <x:c r="B27" s="22" t="str">
        <x:v>Raw VBUS 22V standoff TVS</x:v>
      </x:c>
      <x:c r="C27" s="22" t="str">
        <x:v>TI</x:v>
      </x:c>
      <x:c r="D27" s="22" t="str">
        <x:v>TVS2200DRVR</x:v>
      </x:c>
      <x:c r="E27" s="22" t="str">
        <x:v>C523793</x:v>
      </x:c>
      <x:c r="F27" s="23" t="n">
        <x:v>1</x:v>
      </x:c>
      <x:c r="G27" s="13" t="n">
        <x:v>5</x:v>
      </x:c>
      <x:c r="H27" s="13" t="n">
        <x:v>5</x:v>
      </x:c>
      <x:c r="I27" s="14" t="n">
        <x:f>IF(OR(D27="",G27="",H27=""),"",IF(COUNTIF($D$11:D27,D27)&gt;1,0,ROUNDUP(MAX(SUMIF($D$11:$D$111,D27,$F$11:$F$111),G27)/H27,0)*H27))</x:f>
        <x:v>5</x:v>
      </x:c>
      <x:c r="J27" s="6" t="n">
        <x:v>5</x:v>
      </x:c>
      <x:c r="K27" s="28" t="n">
        <x:v>0.4672</x:v>
      </x:c>
      <x:c r="L27" s="30" t="n">
        <x:f>IF(K27="","",ROUND(F27*K27,4))</x:f>
        <x:v>0.4672</x:v>
      </x:c>
      <x:c r="M27" s="30" t="n">
        <x:f>IF(OR(K27="",I27="",N27=""),"",IF(N27&gt;=I27,ROUND(I27*K27,4),""))</x:f>
        <x:v>2.336</x:v>
      </x:c>
      <x:c r="N27" s="7" t="n">
        <x:v>100</x:v>
      </x:c>
      <x:c r="O27" s="1" t="str">
        <x:v>In stock; part/package/value verified 2026-10-10 against LCSC listing C523793 (TI TVS2200DRVR, WSON-6-EP(2x2)); JLC extended; LCSC stock 100, JLC list stock 133 at lookup vs order qty 5; price is the listed ladder at order qty; re-check at order.</x:v>
      </x:c>
      <x:c r="P27" s="4" t="n">
        <x:v>46305</x:v>
      </x:c>
      <x:c r="Q27" s="1" t="str">
        <x:v>2026-10-10</x:v>
      </x:c>
      <x:c r="R27" s="1"/>
      <x:c r="S27" s="1" t="str">
        <x:v>https://www.lcsc.com/product-detail/C523793.html</x:v>
      </x:c>
    </x:row>
    <x:row r="28" ht="36" customHeight="1">
      <x:c r="A28" s="22" t="str">
        <x:v>L1</x:v>
      </x:c>
      <x:c r="B28" s="22" t="str">
        <x:v>Charger inductor</x:v>
      </x:c>
      <x:c r="C28" s="22" t="str">
        <x:v>Bourns</x:v>
      </x:c>
      <x:c r="D28" s="22" t="str">
        <x:v>SRN6045TA-2R2Y</x:v>
      </x:c>
      <x:c r="E28" s="22" t="str">
        <x:v>C1332316</x:v>
      </x:c>
      <x:c r="F28" s="23" t="n">
        <x:v>1</x:v>
      </x:c>
      <x:c r="G28" s="13" t="n">
        <x:v>5</x:v>
      </x:c>
      <x:c r="H28" s="13" t="n">
        <x:v>5</x:v>
      </x:c>
      <x:c r="I28" s="14" t="n">
        <x:f>IF(OR(D28="",G28="",H28=""),"",IF(COUNTIF($D$11:D28,D28)&gt;1,0,ROUNDUP(MAX(SUMIF($D$11:$D$111,D28,$F$11:$F$111),G28)/H28,0)*H28))</x:f>
        <x:v>5</x:v>
      </x:c>
      <x:c r="J28" s="6" t="n">
        <x:v>5</x:v>
      </x:c>
      <x:c r="K28" s="28" t="n">
        <x:v>0.2261</x:v>
      </x:c>
      <x:c r="L28" s="30" t="n">
        <x:f>IF(K28="","",ROUND(F28*K28,4))</x:f>
        <x:v>0.2261</x:v>
      </x:c>
      <x:c r="M28" s="30" t="n">
        <x:f>IF(OR(K28="",I28="",N28=""),"",IF(N28&gt;=I28,ROUND(I28*K28,4),""))</x:f>
        <x:v>1.1305</x:v>
      </x:c>
      <x:c r="N28" s="7" t="n">
        <x:v>2960</x:v>
      </x:c>
      <x:c r="O28" s="1" t="str">
        <x:v>In stock; part/package/value verified 2026-10-10 against LCSC listing C1332316 (BOURNS SRN6045TA-2R2Y, SMD,6x6mm); JLC extended; LCSC stock 2960, JLC list stock 2961 at lookup vs order qty 5; price is the listed ladder at order qty; re-check at order.</x:v>
      </x:c>
      <x:c r="P28" s="4" t="n">
        <x:v>46305</x:v>
      </x:c>
      <x:c r="Q28" s="1" t="str">
        <x:v>2026-10-10</x:v>
      </x:c>
      <x:c r="R28" s="1"/>
      <x:c r="S28" s="1" t="str">
        <x:v>https://www.lcsc.com/product-detail/C1332316.html</x:v>
      </x:c>
    </x:row>
    <x:row r="29" ht="36" customHeight="1">
      <x:c r="A29" s="22" t="str">
        <x:v>Q103</x:v>
      </x:c>
      <x:c r="B29" s="22" t="str">
        <x:v>Ship FET (pack disconnect)</x:v>
      </x:c>
      <x:c r="C29" s="22" t="str">
        <x:v>Texas Instruments</x:v>
      </x:c>
      <x:c r="D29" s="22" t="str">
        <x:v>CSD17579Q3A</x:v>
      </x:c>
      <x:c r="E29" s="22" t="str">
        <x:v>C97376</x:v>
      </x:c>
      <x:c r="F29" s="23" t="n">
        <x:v>1</x:v>
      </x:c>
      <x:c r="G29" s="13" t="n">
        <x:v>1</x:v>
      </x:c>
      <x:c r="H29" s="13" t="n">
        <x:v>1</x:v>
      </x:c>
      <x:c r="I29" s="14" t="n">
        <x:f>IF(OR(D29="",G29="",H29=""),"",IF(COUNTIF($D$11:D29,D29)&gt;1,0,ROUNDUP(MAX(SUMIF($D$11:$D$111,D29,$F$11:$F$111),G29)/H29,0)*H29))</x:f>
        <x:v>1</x:v>
      </x:c>
      <x:c r="J29" s="6" t="n">
        <x:v>1</x:v>
      </x:c>
      <x:c r="K29" s="28" t="n">
        <x:v>0.7788</x:v>
      </x:c>
      <x:c r="L29" s="30" t="n">
        <x:f>IF(K29="","",ROUND(F29*K29,4))</x:f>
        <x:v>0.7788</x:v>
      </x:c>
      <x:c r="M29" s="30" t="n">
        <x:f>IF(OR(K29="",I29="",N29=""),"",IF(N29&gt;=I29,ROUND(I29*K29,4),""))</x:f>
        <x:v>0.7788</x:v>
      </x:c>
      <x:c r="N29" s="7" t="n">
        <x:v>3526</x:v>
      </x:c>
      <x:c r="O29" s="1" t="str">
        <x:v>In stock; part/package/value verified 2026-10-10 against LCSC listing C97376 (TI CSD17579Q3A, SON-8-EP(3.1x3)); JLC extended; LCSC stock 3526, JLC list stock 3526 at lookup vs order qty 1; price is the listed ladder at order qty; re-check at order.</x:v>
      </x:c>
      <x:c r="P29" s="4" t="n">
        <x:v>46305</x:v>
      </x:c>
      <x:c r="Q29" s="1" t="str">
        <x:v>2026-10-10</x:v>
      </x:c>
      <x:c r="R29" s="1" t="str">
        <x:v>Price/stock not verified.</x:v>
      </x:c>
      <x:c r="S29" s="1" t="str">
        <x:v>https://www.lcsc.com/product-detail/C97376.html</x:v>
      </x:c>
    </x:row>
    <x:row r="30" ht="36" customHeight="1">
      <x:c r="A30" s="22" t="str">
        <x:v>U14</x:v>
      </x:c>
      <x:c r="B30" s="22" t="str">
        <x:v>5 V codec logic buck-boost regulator</x:v>
      </x:c>
      <x:c r="C30" s="22" t="str">
        <x:v>Texas Instruments</x:v>
      </x:c>
      <x:c r="D30" s="22" t="str">
        <x:v>TPS63802DLAR</x:v>
      </x:c>
      <x:c r="E30" s="22" t="str">
        <x:v>C2845237</x:v>
      </x:c>
      <x:c r="F30" s="23" t="n">
        <x:v>1</x:v>
      </x:c>
      <x:c r="G30" s="13" t="n">
        <x:v>1</x:v>
      </x:c>
      <x:c r="H30" s="13" t="n">
        <x:v>1</x:v>
      </x:c>
      <x:c r="I30" s="14" t="n">
        <x:f>IF(OR(D30="",G30="",H30=""),"",IF(COUNTIF($D$11:D30,D30)&gt;1,0,ROUNDUP(MAX(SUMIF($D$11:$D$111,D30,$F$11:$F$111),G30)/H30,0)*H30))</x:f>
        <x:v>2</x:v>
      </x:c>
      <x:c r="J30" s="6" t="n">
        <x:v>1</x:v>
      </x:c>
      <x:c r="K30" s="28" t="n">
        <x:v>0.9773</x:v>
      </x:c>
      <x:c r="L30" s="30" t="n">
        <x:f>IF(K30="","",ROUND(F30*K30,4))</x:f>
        <x:v>0.9773</x:v>
      </x:c>
      <x:c r="M30" s="30" t="n">
        <x:f>IF(OR(K30="",I30="",N30=""),"",IF(N30&gt;=I30,ROUND(I30*K30,4),""))</x:f>
        <x:v>1.9546</x:v>
      </x:c>
      <x:c r="N30" s="7" t="n">
        <x:v>15179</x:v>
      </x:c>
      <x:c r="O30" s="1" t="str">
        <x:v>In stock; part/package/value verified 2026-10-10 against LCSC listing C2845237 (TI TPS63802DLAR, VSON-10(2x3)); JLC extended; LCSC stock 15179, JLC list stock 15872 at lookup vs order qty 2; price is the listed ladder at order qty; re-check at order.</x:v>
      </x:c>
      <x:c r="P30" s="4" t="n">
        <x:v>46305</x:v>
      </x:c>
      <x:c r="Q30" s="1" t="str">
        <x:v>2026-10-10</x:v>
      </x:c>
      <x:c r="R30" s="1" t="str">
        <x:v>Same selected part and listing snapshot as U15; stock/price snapshot, not quote.</x:v>
      </x:c>
      <x:c r="S30" s="1" t="str">
        <x:v>https://www.lcsc.com/product-detail/C2845237.html</x:v>
      </x:c>
    </x:row>
    <x:row r="31" ht="36" customHeight="1">
      <x:c r="A31" s="22" t="str">
        <x:v>J4</x:v>
      </x:c>
      <x:c r="B31" s="22" t="str">
        <x:v>PD I2C service header</x:v>
      </x:c>
      <x:c r="C31" s="22" t="str">
        <x:v>Ckmtw</x:v>
      </x:c>
      <x:c r="D31" s="22" t="str">
        <x:v>B-2100S04P-A110</x:v>
      </x:c>
      <x:c r="E31" s="22" t="str">
        <x:v>C124378</x:v>
      </x:c>
      <x:c r="F31" s="23" t="n">
        <x:v>1</x:v>
      </x:c>
      <x:c r="G31" s="13" t="n">
        <x:v>10</x:v>
      </x:c>
      <x:c r="H31" s="13" t="n">
        <x:v>10</x:v>
      </x:c>
      <x:c r="I31" s="14" t="n">
        <x:f>IF(OR(D31="",G31="",H31=""),"",IF(COUNTIF($D$11:D31,D31)&gt;1,0,ROUNDUP(MAX(SUMIF($D$11:$D$111,D31,$F$11:$F$111),G31)/H31,0)*H31))</x:f>
        <x:v>10</x:v>
      </x:c>
      <x:c r="J31" s="6" t="n">
        <x:v>10</x:v>
      </x:c>
      <x:c r="K31" s="28" t="n">
        <x:v>0.0565</x:v>
      </x:c>
      <x:c r="L31" s="30" t="n">
        <x:f>IF(K31="","",ROUND(F31*K31,4))</x:f>
        <x:v>0.0565</x:v>
      </x:c>
      <x:c r="M31" s="30" t="n">
        <x:f>IF(OR(K31="",I31="",N31=""),"",IF(N31&gt;=I31,ROUND(I31*K31,4),""))</x:f>
        <x:v>0.565</x:v>
      </x:c>
      <x:c r="N31" s="7" t="n">
        <x:v>52690</x:v>
      </x:c>
      <x:c r="O31" s="1" t="str">
        <x:v>In stock; part/package/value verified 2026-10-10 against LCSC listing C124378 (Ckmtw B-2100S04P-A110, Through Hole,P=2.54mm); JLC extended; LCSC stock 52690, JLC list stock 70808 at lookup vs order qty 10; price is the listed ladder at order qty; re-check at order.</x:v>
      </x:c>
      <x:c r="P31" s="4" t="n">
        <x:v>46305</x:v>
      </x:c>
      <x:c r="Q31" s="1" t="str">
        <x:v>2026-10-10</x:v>
      </x:c>
      <x:c r="R31" s="1" t="str">
        <x:v>J4 (PD I2C service header) uses the same 1x4 2.54 mm straight THT header as J6 (footprint PD_SERVICE_HDR is 1x04 2.54 mm); selected 2026-10-10 to match the footprint.</x:v>
      </x:c>
      <x:c r="S31" s="1" t="str">
        <x:v>https://www.lcsc.com/product-detail/C124378.html</x:v>
      </x:c>
    </x:row>
    <x:row r="32" ht="36" customHeight="1">
      <x:c r="A32" s="22" t="str">
        <x:v>D7</x:v>
      </x:c>
      <x:c r="B32" s="22" t="str">
        <x:v>TPS25730D VBUS-to-GND Schottky</x:v>
      </x:c>
      <x:c r="C32" s="22" t="str">
        <x:v>Diodes Incorporated</x:v>
      </x:c>
      <x:c r="D32" s="22" t="str">
        <x:v>1N5819HW-7-F</x:v>
      </x:c>
      <x:c r="E32" s="22" t="str">
        <x:v>C82544</x:v>
      </x:c>
      <x:c r="F32" s="23" t="n">
        <x:v>1</x:v>
      </x:c>
      <x:c r="G32" s="13" t="n">
        <x:v>10</x:v>
      </x:c>
      <x:c r="H32" s="13" t="n">
        <x:v>10</x:v>
      </x:c>
      <x:c r="I32" s="14" t="n">
        <x:f>IF(OR(D32="",G32="",H32=""),"",IF(COUNTIF($D$11:D32,D32)&gt;1,0,ROUNDUP(MAX(SUMIF($D$11:$D$111,D32,$F$11:$F$111),G32)/H32,0)*H32))</x:f>
        <x:v>10</x:v>
      </x:c>
      <x:c r="J32" s="6" t="n">
        <x:v>10</x:v>
      </x:c>
      <x:c r="K32" s="28" t="n">
        <x:v>0.0559</x:v>
      </x:c>
      <x:c r="L32" s="30" t="n">
        <x:f>IF(K32="","",ROUND(F32*K32,4))</x:f>
        <x:v>0.0559</x:v>
      </x:c>
      <x:c r="M32" s="30" t="n">
        <x:f>IF(OR(K32="",I32="",N32=""),"",IF(N32&gt;=I32,ROUND(I32*K32,4),""))</x:f>
        <x:v>0.559</x:v>
      </x:c>
      <x:c r="N32" s="7" t="n">
        <x:v>162660</x:v>
      </x:c>
      <x:c r="O32" s="1" t="str">
        <x:v>In stock; part/package/value verified 2026-10-10 against LCSC listing C82544 (DIODES 1N5819HW-7-F, SOD-123); JLC extended; LCSC stock 162660, JLC list stock 162646 at lookup vs order qty 10; price is the listed ladder at order qty; re-check at order.</x:v>
      </x:c>
      <x:c r="P32" s="4" t="n">
        <x:v>46305</x:v>
      </x:c>
      <x:c r="Q32" s="1" t="str">
        <x:v>2026-10-10</x:v>
      </x:c>
      <x:c r="R32" s="1" t="str">
        <x:v>40V/1A SOD-123; leakage not bench-checked; alt B5819W SL C8598</x:v>
      </x:c>
      <x:c r="S32" s="1" t="str">
        <x:v>https://www.lcsc.com/product-detail/C82544.html</x:v>
      </x:c>
    </x:row>
    <x:row r="33" ht="36" customHeight="1">
      <x:c r="A33" s="22" t="str">
        <x:v>J5</x:v>
      </x:c>
      <x:c r="B33" s="22" t="str">
        <x:v>Three-contact protected pack connector</x:v>
      </x:c>
      <x:c r="C33" s="22" t="str">
        <x:v>Molex</x:v>
      </x:c>
      <x:c r="D33" s="22" t="str">
        <x:v>43650-0300</x:v>
      </x:c>
      <x:c r="E33" s="22" t="str">
        <x:v>C503478</x:v>
      </x:c>
      <x:c r="F33" s="23" t="n">
        <x:v>1</x:v>
      </x:c>
      <x:c r="G33" s="13" t="n">
        <x:v>1</x:v>
      </x:c>
      <x:c r="H33" s="13" t="n">
        <x:v>1</x:v>
      </x:c>
      <x:c r="I33" s="14" t="n">
        <x:f>IF(OR(D33="",G33="",H33=""),"",IF(COUNTIF($D$11:D33,D33)&gt;1,0,ROUNDUP(MAX(SUMIF($D$11:$D$111,D33,$F$11:$F$111),G33)/H33,0)*H33))</x:f>
        <x:v>1</x:v>
      </x:c>
      <x:c r="J33" s="6" t="n">
        <x:v>1</x:v>
      </x:c>
      <x:c r="K33" s="28" t="n">
        <x:v>0.5485</x:v>
      </x:c>
      <x:c r="L33" s="30" t="n">
        <x:f>IF(K33="","",ROUND(F33*K33,4))</x:f>
        <x:v>0.5485</x:v>
      </x:c>
      <x:c r="M33" s="30" t="n">
        <x:f>IF(OR(K33="",I33="",N33=""),"",IF(N33&gt;=I33,ROUND(I33*K33,4),""))</x:f>
        <x:v>0.5485</x:v>
      </x:c>
      <x:c r="N33" s="7" t="n">
        <x:v>8657</x:v>
      </x:c>
      <x:c r="O33" s="1" t="str">
        <x:v>In stock; part/package/value verified 2026-10-10 against LCSC listing C503478 (MOLEX 436500300, Through Hole,Right Angle,P=3mm); JLC extended; LCSC stock 8657, JLC list stock 8657 at lookup vs order qty 1; price is the listed ladder at order qty; re-check at order.</x:v>
      </x:c>
      <x:c r="P33" s="4" t="n">
        <x:v>46305</x:v>
      </x:c>
      <x:c r="Q33" s="1" t="str">
        <x:v>2026-10-10</x:v>
      </x:c>
      <x:c r="R33" s="1" t="str">
        <x:v>Selected 2026-10-06: Micro-Fit 3.0 3-pos right-angle header, 8.5 A/contact (LCSC listing); mates 43645-0300 housing + 43030 crimps (not yet in BOM). LCSC datasheet file is an LXW 5 A drawing; use Molex PS-43650. Price/stock from 2026-10-06 LCSC page, not a quote.</x:v>
      </x:c>
      <x:c r="S33" s="1" t="str">
        <x:v>https://www.lcsc.com/product-detail/C503478.html</x:v>
      </x:c>
    </x:row>
    <x:row r="34" ht="36" customHeight="1">
      <x:c r="A34" s="22" t="str">
        <x:v>J5 mate (housing)</x:v>
      </x:c>
      <x:c r="B34" s="22" t="str">
        <x:v>Mating 3-pos Micro-Fit 3.0 receptacle housing for J5 (pack harness)</x:v>
      </x:c>
      <x:c r="C34" s="22" t="str">
        <x:v>Molex</x:v>
      </x:c>
      <x:c r="D34" s="22" t="str">
        <x:v>43645-0300</x:v>
      </x:c>
      <x:c r="E34" s="22" t="str">
        <x:v>C259740</x:v>
      </x:c>
      <x:c r="F34" s="23" t="n">
        <x:v>1</x:v>
      </x:c>
      <x:c r="G34" s="13" t="n">
        <x:v>5</x:v>
      </x:c>
      <x:c r="H34" s="13" t="n">
        <x:v>5</x:v>
      </x:c>
      <x:c r="I34" s="14" t="n">
        <x:f>IF(OR(D34="",G34="",H34=""),"",IF(COUNTIF($D$11:D34,D34)&gt;1,0,ROUNDUP(MAX(SUMIF($D$11:$D$111,D34,$F$11:$F$111),G34)/H34,0)*H34))</x:f>
        <x:v>5</x:v>
      </x:c>
      <x:c r="J34" s="6" t="n">
        <x:v>5</x:v>
      </x:c>
      <x:c r="K34" s="28" t="n">
        <x:v>0.1461</x:v>
      </x:c>
      <x:c r="L34" s="30" t="n">
        <x:f>IF(K34="","",ROUND(F34*K34,4))</x:f>
        <x:v>0.1461</x:v>
      </x:c>
      <x:c r="M34" s="30" t="n">
        <x:f>IF(OR(K34="",I34="",N34=""),"",IF(N34&gt;=I34,ROUND(I34*K34,4),""))</x:f>
        <x:v>0.7305</x:v>
      </x:c>
      <x:c r="N34" s="7" t="n">
        <x:v>5705</x:v>
      </x:c>
      <x:c r="O34" s="1" t="str">
        <x:v>In stock; part/package/value verified 2026-10-10 against LCSC listing C259740 (MOLEX 436450300, P=3mm); JLC extended; LCSC stock 5705, JLC list stock 5706 at lookup vs order qty 5; price is the listed ladder at order qty; re-check at order.</x:v>
      </x:c>
      <x:c r="P34" s="4" t="n">
        <x:v>46305</x:v>
      </x:c>
      <x:c r="Q34" s="1" t="str">
        <x:v>2026-10-10</x:v>
      </x:c>
      <x:c r="R34" s="1" t="str">
        <x:v>Added 2026-10-10: Micro-Fit 3.0 1x3 housing, mates 43650 header (J5). LCSC listing shows Molex 436450300. Not a schematic part; pack harness item. Datasheet pin/housing mating series match is by Molex part family, not yet checked against PS-43650.</x:v>
      </x:c>
      <x:c r="S34" s="1" t="str">
        <x:v>https://www.lcsc.com/product-detail/C259740.html</x:v>
      </x:c>
    </x:row>
    <x:row r="35" ht="36" customHeight="1">
      <x:c r="A35" s="22" t="str">
        <x:v>J5 mate (contacts)</x:v>
      </x:c>
      <x:c r="B35" s="22" t="str">
        <x:v>Crimp contacts for 43645-0300 housing, 3 per harness (wire gauge open)</x:v>
      </x:c>
      <x:c r="C35" s="22" t="str">
        <x:v>Molex</x:v>
      </x:c>
      <x:c r="D35" s="22" t="str">
        <x:v>43030-0001</x:v>
      </x:c>
      <x:c r="E35" s="22" t="str">
        <x:v>C259786</x:v>
      </x:c>
      <x:c r="F35" s="23" t="n">
        <x:v>3</x:v>
      </x:c>
      <x:c r="G35" s="13" t="n">
        <x:v>100</x:v>
      </x:c>
      <x:c r="H35" s="13" t="n">
        <x:v>100</x:v>
      </x:c>
      <x:c r="I35" s="14" t="n">
        <x:f>IF(OR(D35="",G35="",H35=""),"",IF(COUNTIF($D$11:D35,D35)&gt;1,0,ROUNDUP(MAX(SUMIF($D$11:$D$111,D35,$F$11:$F$111),G35)/H35,0)*H35))</x:f>
        <x:v>100</x:v>
      </x:c>
      <x:c r="J35" s="6" t="n">
        <x:v>100</x:v>
      </x:c>
      <x:c r="K35" s="28" t="n">
        <x:v>0.0149</x:v>
      </x:c>
      <x:c r="L35" s="30" t="n">
        <x:f>IF(K35="","",ROUND(F35*K35,4))</x:f>
        <x:v>0.0447</x:v>
      </x:c>
      <x:c r="M35" s="30" t="n">
        <x:f>IF(OR(K35="",I35="",N35=""),"",IF(N35&gt;=I35,ROUND(I35*K35,4),""))</x:f>
        <x:v>1.49</x:v>
      </x:c>
      <x:c r="N35" s="7" t="n">
        <x:v>2893800</x:v>
      </x:c>
      <x:c r="O35" s="1" t="str">
        <x:v>In stock; part/package/value verified 2026-10-10 against LCSC listing C259786 (MOLEX 430300001, -); JLC extended; LCSC stock 2893800, JLC list stock 2893876 at lookup vs order qty 100; price is the listed ladder at order qty; re-check at order.</x:v>
      </x:c>
      <x:c r="P35" s="4" t="n">
        <x:v>46305</x:v>
      </x:c>
      <x:c r="Q35" s="1" t="str">
        <x:v>2026-10-10</x:v>
      </x:c>
      <x:c r="R35" s="1" t="str">
        <x:v>Added 2026-10-10: Micro-Fit 3.0 crimp terminal, listing says 20-24 AWG. Wire gauge for 3 A charge / about 9 A discharge pack leads is not decided: confirm gauge and contact variant (43030-0007 C293530 is another stocked Micro-Fit contact) before ordering.</x:v>
      </x:c>
      <x:c r="S35" s="1" t="str">
        <x:v>https://www.lcsc.com/product-detail/C259786.html</x:v>
      </x:c>
    </x:row>
    <x:row r="36" ht="36" customHeight="1">
      <x:c r="A36" s="22" t="str">
        <x:v>SW100</x:v>
      </x:c>
      <x:c r="B36" s="22" t="str">
        <x:v>QON wake pushbutton</x:v>
      </x:c>
      <x:c r="C36" s="22" t="str">
        <x:v>TE Connectivity</x:v>
      </x:c>
      <x:c r="D36" s="22" t="str">
        <x:v>1977066-1</x:v>
      </x:c>
      <x:c r="E36" s="22" t="str">
        <x:v>C2972219</x:v>
      </x:c>
      <x:c r="F36" s="23" t="n">
        <x:v>1</x:v>
      </x:c>
      <x:c r="G36" s="13" t="n">
        <x:v>1</x:v>
      </x:c>
      <x:c r="H36" s="13" t="n">
        <x:v>1</x:v>
      </x:c>
      <x:c r="I36" s="14" t="n">
        <x:f>IF(OR(D36="",G36="",H36=""),"",IF(COUNTIF($D$11:D36,D36)&gt;1,0,ROUNDUP(MAX(SUMIF($D$11:$D$111,D36,$F$11:$F$111),G36)/H36,0)*H36))</x:f>
        <x:v>1</x:v>
      </x:c>
      <x:c r="J36" s="6" t="n">
        <x:v>1</x:v>
      </x:c>
      <x:c r="K36" s="28" t="n">
        <x:v>0.6291</x:v>
      </x:c>
      <x:c r="L36" s="30" t="n">
        <x:f>IF(K36="","",ROUND(F36*K36,4))</x:f>
        <x:v>0.6291</x:v>
      </x:c>
      <x:c r="M36" s="30" t="n">
        <x:f>IF(OR(K36="",I36="",N36=""),"",IF(N36&gt;=I36,ROUND(I36*K36,4),""))</x:f>
        <x:v>0.6291</x:v>
      </x:c>
      <x:c r="N36" s="7" t="n">
        <x:v>1838</x:v>
      </x:c>
      <x:c r="O36" s="1" t="str">
        <x:v>In stock; part/package/value verified 2026-10-10 against LCSC listing C2972219 (TE Connectivity 1977066-1, SMD); JLC extended; LCSC stock 1838, JLC list stock 1851 at lookup vs order qty 1; price is the listed ladder at order qty; re-check at order.</x:v>
      </x:c>
      <x:c r="P36" s="4" t="n">
        <x:v>46305</x:v>
      </x:c>
      <x:c r="Q36" s="1" t="str">
        <x:v>2026-10-10</x:v>
      </x:c>
      <x:c r="R36" s="1" t="str">
        <x:v>Selected 2026-10-06: right-angle SMT tact, 50 mA @12 V. LCSC number confirmed. Price/stock from LCSC page 2026-10-06, not a quote.</x:v>
      </x:c>
      <x:c r="S36" s="1" t="str">
        <x:v>https://www.lcsc.com/product-detail/C2972219.html</x:v>
      </x:c>
    </x:row>
    <x:row r="37" ht="36" customHeight="1">
      <x:c r="A37" s="22" t="str">
        <x:v>SW101</x:v>
      </x:c>
      <x:c r="B37" s="22" t="str">
        <x:v>Pack-positive disconnect switch</x:v>
      </x:c>
      <x:c r="C37" s="22" t="str">
        <x:v>CW Industries</x:v>
      </x:c>
      <x:c r="D37" s="22" t="str">
        <x:v>GRB112B802BR1</x:v>
      </x:c>
      <x:c r="E37" s="22" t="str"/>
      <x:c r="F37" s="23" t="n">
        <x:v>1</x:v>
      </x:c>
      <x:c r="G37" s="13" t="n">
        <x:v>1</x:v>
      </x:c>
      <x:c r="H37" s="13" t="n">
        <x:v>1</x:v>
      </x:c>
      <x:c r="I37" s="14" t="n">
        <x:f>IF(OR(D37="",G37="",H37=""),"",IF(COUNTIF($D$11:D37,D37)&gt;1,0,ROUNDUP(MAX(SUMIF($D$11:$D$111,D37,$F$11:$F$111),G37)/H37,0)*H37))</x:f>
        <x:v>1</x:v>
      </x:c>
      <x:c r="J37" s="6" t="n">
        <x:v>1</x:v>
      </x:c>
      <x:c r="K37" s="28" t="n">
        <x:v>5.09</x:v>
      </x:c>
      <x:c r="L37" s="30" t="n">
        <x:v>5.09</x:v>
      </x:c>
      <x:c r="M37" s="30" t="n">
        <x:f>IF(OR(K37="",I37="",N37=""),"",IF(N37&gt;=I37,ROUND(I37*K37,4),""))</x:f>
        <x:v>5.09</x:v>
      </x:c>
      <x:c r="N37" s="7" t="n">
        <x:v>7073</x:v>
      </x:c>
      <x:c r="O37" s="1" t="str">
        <x:v>Digi-Key 2349683, 7073 in stock at 2026-10-12, $5.09; 20 A 14 VDC SPST round rocker, 20.2 mm hole, 0.187 in fastons, IP65, red LED (lamp pin unused on the 1S rail); snap-in panel 1.5-2.5 mm so the 4 mm lid needs a local pocket (CAD); replaces KCD1-201-R (stock 0). Not an LCSC part; wired, not assembled.</x:v>
      </x:c>
      <x:c r="P37" s="4" t="n">
        <x:v>46305</x:v>
      </x:c>
      <x:c r="Q37" s="1" t="str">
        <x:v>2026-10-12</x:v>
      </x:c>
      <x:c r="R37" s="1" t="str">
        <x:v>Substituted 2026-10-12 from reports/sourcing-2026-10-12.md (coordinator, self-approved). Previous: SHOU HAN KCD1-201-R C5884429, stock 0.</x:v>
      </x:c>
      <x:c r="S37" s="1" t="str">
        <x:v>https://www.digikey.com/en/products/detail/cw-industries/GRB112B802BR1/2349683</x:v>
      </x:c>
    </x:row>
    <x:row r="38" ht="36" customHeight="1">
      <x:c r="A38" s="22" t="str">
        <x:v>PACK</x:v>
      </x:c>
      <x:c r="B38" s="22" t="str">
        <x:v>Protected 1S Li-ion pack with 10k NTC; capacity/curve/lead open</x:v>
      </x:c>
      <x:c r="C38" s="22"/>
      <x:c r="D38" s="22"/>
      <x:c r="E38" s="22"/>
      <x:c r="F38" s="23" t="n">
        <x:v>1</x:v>
      </x:c>
      <x:c r="G38" s="13"/>
      <x:c r="H38" s="13"/>
      <x:c r="I38" s="14" t="str">
        <x:f>IF(OR(D38="",G38="",H38=""),"",IF(COUNTIF($D$11:D38,D38)&gt;1,0,ROUNDUP(MAX(SUMIF($D$11:$D$111,D38,$F$11:$F$111),G38)/H38,0)*H38))</x:f>
      </x:c>
      <x:c r="J38" s="6"/>
      <x:c r="K38" s="28"/>
      <x:c r="L38" s="30" t="str">
        <x:f>IF(K38="","",ROUND(F38*K38,4))</x:f>
      </x:c>
      <x:c r="M38" s="30" t="str">
        <x:f>IF(OR(K38="",I38="",N38=""),"",IF(N38&gt;=I38,ROUND(I38*K38,4),""))</x:f>
      </x:c>
      <x:c r="N38" s="7"/>
      <x:c r="O38" s="1" t="str">
        <x:v>UNRESOLVED 2026-10-10: no pack MPN chosen. Cells (2P 21700), PCM/protection board and harness are not LCSC stock items (keyword searches for INR21700 returned nothing); NTC candidates: NCP15XH103F03RC C77131 (Murata 10k 0402 3380 K, 10,406, SMD for board), MF52A103F3950 C13879 (10k 3950 K leaded, 170,230) or MF52A103F3435 C84036 (10k 3435 K, 31,810): curve must match the BQ25792 TS table. NTC: the BQ25792 expects a 103AT-2 10 kOhm curve (B about 3435 K; datasheet thresholds are quoted for 103AT), so MF52A103F3435 C84036 is the closest candidate; the TS divider and thresholds must be checked against the chosen curve. Pack/PCM remain the user decision.</x:v>
      </x:c>
      <x:c r="P38" s="4" t="n">
        <x:v>46305</x:v>
      </x:c>
      <x:c r="Q38" s="1" t="str">
        <x:v>2026-10-10</x:v>
      </x:c>
      <x:c r="R38" s="1"/>
      <x:c r="S38" s="1"/>
    </x:row>
    <x:row r="39" ht="36" customHeight="1">
      <x:c r="A39" s="22" t="str">
        <x:v>U15</x:v>
      </x:c>
      <x:c r="B39" s="22" t="str">
        <x:v>3.8V Bluetooth buck-boost</x:v>
      </x:c>
      <x:c r="C39" s="22" t="str">
        <x:v>TI</x:v>
      </x:c>
      <x:c r="D39" s="22" t="str">
        <x:v>TPS63802DLAR</x:v>
      </x:c>
      <x:c r="E39" s="22" t="str">
        <x:v>C2845237</x:v>
      </x:c>
      <x:c r="F39" s="23" t="n">
        <x:v>1</x:v>
      </x:c>
      <x:c r="G39" s="13" t="n">
        <x:v>1</x:v>
      </x:c>
      <x:c r="H39" s="13" t="n">
        <x:v>1</x:v>
      </x:c>
      <x:c r="I39" s="14" t="n">
        <x:f>IF(OR(D39="",G39="",H39=""),"",IF(COUNTIF($D$11:D39,D39)&gt;1,0,ROUNDUP(MAX(SUMIF($D$11:$D$111,D39,$F$11:$F$111),G39)/H39,0)*H39))</x:f>
        <x:v>0</x:v>
      </x:c>
      <x:c r="J39" s="6" t="n">
        <x:v>1</x:v>
      </x:c>
      <x:c r="K39" s="28" t="n">
        <x:v>0.9773</x:v>
      </x:c>
      <x:c r="L39" s="30" t="n">
        <x:f>IF(K39="","",ROUND(F39*K39,4))</x:f>
        <x:v>0.9773</x:v>
      </x:c>
      <x:c r="M39" s="30" t="str">
        <x:f>IF(OR(K39="",I39="",N39=""),"",IF(N39&gt;=I39,ROUND(I39*K39,4),""))</x:f>
      </x:c>
      <x:c r="N39" s="7" t="n">
        <x:v>15179</x:v>
      </x:c>
      <x:c r="O39" s="1" t="str">
        <x:v>In stock; part/package/value verified 2026-10-10 against LCSC listing C2845237 (TI TPS63802DLAR, VSON-10(2x3)); JLC extended; LCSC stock 15179, JLC list stock 15872 at lookup vs order qty 2; price is the listed ladder at order qty; re-check at order.</x:v>
      </x:c>
      <x:c r="P39" s="4" t="n">
        <x:v>46305</x:v>
      </x:c>
      <x:c r="Q39" s="1" t="str">
        <x:v>2026-10-10</x:v>
      </x:c>
      <x:c r="R39" s="1"/>
      <x:c r="S39" s="1" t="str">
        <x:v>https://www.lcsc.com/product-detail/C2845237.html</x:v>
      </x:c>
    </x:row>
    <x:row r="40" ht="36" customHeight="1">
      <x:c r="A40" s="22" t="str">
        <x:v>L2</x:v>
      </x:c>
      <x:c r="B40" s="22" t="str">
        <x:v>0.47uH codec buck-boost inductor</x:v>
      </x:c>
      <x:c r="C40" s="22" t="str">
        <x:v>Coilcraft</x:v>
      </x:c>
      <x:c r="D40" s="22" t="str">
        <x:v>XFL4015-471MEC</x:v>
      </x:c>
      <x:c r="E40" s="22" t="str">
        <x:v>C18221164</x:v>
      </x:c>
      <x:c r="F40" s="23" t="n">
        <x:v>1</x:v>
      </x:c>
      <x:c r="G40" s="13" t="n">
        <x:v>1</x:v>
      </x:c>
      <x:c r="H40" s="13" t="n">
        <x:v>1</x:v>
      </x:c>
      <x:c r="I40" s="14" t="n">
        <x:f>IF(OR(D40="",G40="",H40=""),"",IF(COUNTIF($D$11:D40,D40)&gt;1,0,ROUNDUP(MAX(SUMIF($D$11:$D$111,D40,$F$11:$F$111),G40)/H40,0)*H40))</x:f>
        <x:v>2</x:v>
      </x:c>
      <x:c r="J40" s="6" t="n">
        <x:v>1</x:v>
      </x:c>
      <x:c r="K40" s="28" t="n">
        <x:v>4.2515</x:v>
      </x:c>
      <x:c r="L40" s="30" t="n">
        <x:f>IF(K40="","",ROUND(F40*K40,4))</x:f>
        <x:v>4.2515</x:v>
      </x:c>
      <x:c r="M40" s="30" t="n">
        <x:f>IF(OR(K40="",I40="",N40=""),"",IF(N40&gt;=I40,ROUND(I40*K40,4),""))</x:f>
        <x:v>8.503</x:v>
      </x:c>
      <x:c r="N40" s="7" t="n">
        <x:v>2302</x:v>
      </x:c>
      <x:c r="O40" s="1" t="str">
        <x:v>In stock; part/package/value verified 2026-10-10 against LCSC listing C18221164 (Coilcraft XFL4015-471MEC, SMD,4x4mm); JLC extended; LCSC stock 2302, JLC list stock 2367 at lookup vs order qty 2; price is the listed ladder at order qty; re-check at order.</x:v>
      </x:c>
      <x:c r="P40" s="4" t="n">
        <x:v>46305</x:v>
      </x:c>
      <x:c r="Q40" s="1" t="str">
        <x:v>2026-10-10</x:v>
      </x:c>
      <x:c r="R40" s="1" t="str">
        <x:v>Same MPN as L3; listing stock and tier are shared.</x:v>
      </x:c>
      <x:c r="S40" s="1" t="str">
        <x:v>https://www.lcsc.com/product-detail/C18221164.html</x:v>
      </x:c>
    </x:row>
    <x:row r="41" ht="36" customHeight="1">
      <x:c r="A41" s="22" t="str">
        <x:v>L3</x:v>
      </x:c>
      <x:c r="B41" s="22" t="str">
        <x:v>Bluetooth buck-boost 0.47uH inductor</x:v>
      </x:c>
      <x:c r="C41" s="22" t="str">
        <x:v>Coilcraft</x:v>
      </x:c>
      <x:c r="D41" s="22" t="str">
        <x:v>XFL4015-471MEC</x:v>
      </x:c>
      <x:c r="E41" s="22" t="str">
        <x:v>C18221164</x:v>
      </x:c>
      <x:c r="F41" s="23" t="n">
        <x:v>1</x:v>
      </x:c>
      <x:c r="G41" s="13" t="n">
        <x:v>1</x:v>
      </x:c>
      <x:c r="H41" s="13" t="n">
        <x:v>1</x:v>
      </x:c>
      <x:c r="I41" s="14" t="n">
        <x:f>IF(OR(D41="",G41="",H41=""),"",IF(COUNTIF($D$11:D41,D41)&gt;1,0,ROUNDUP(MAX(SUMIF($D$11:$D$111,D41,$F$11:$F$111),G41)/H41,0)*H41))</x:f>
        <x:v>0</x:v>
      </x:c>
      <x:c r="J41" s="6" t="n">
        <x:v>1</x:v>
      </x:c>
      <x:c r="K41" s="28" t="n">
        <x:v>4.2515</x:v>
      </x:c>
      <x:c r="L41" s="30" t="n">
        <x:f>IF(K41="","",ROUND(F41*K41,4))</x:f>
        <x:v>4.2515</x:v>
      </x:c>
      <x:c r="M41" s="30" t="str">
        <x:f>IF(OR(K41="",I41="",N41=""),"",IF(N41&gt;=I41,ROUND(I41*K41,4),""))</x:f>
      </x:c>
      <x:c r="N41" s="7" t="n">
        <x:v>2302</x:v>
      </x:c>
      <x:c r="O41" s="1" t="str">
        <x:v>In stock; part/package/value verified 2026-10-10 against LCSC listing C18221164 (Coilcraft XFL4015-471MEC, SMD,4x4mm); JLC extended; LCSC stock 2302, JLC list stock 2367 at lookup vs order qty 2; price is the listed ladder at order qty; re-check at order.</x:v>
      </x:c>
      <x:c r="P41" s="4" t="n">
        <x:v>46305</x:v>
      </x:c>
      <x:c r="Q41" s="1" t="str">
        <x:v>2026-10-10</x:v>
      </x:c>
      <x:c r="R41" s="1"/>
      <x:c r="S41" s="1" t="str">
        <x:v>https://www.lcsc.com/product-detail/C18221164.html</x:v>
      </x:c>
    </x:row>
    <x:row r="42" ht="36" customHeight="1">
      <x:c r="A42" s="22" t="str">
        <x:v>U19</x:v>
      </x:c>
      <x:c r="B42" s="22" t="str">
        <x:v>USB auxiliary 5V / PD controller VDD LDO</x:v>
      </x:c>
      <x:c r="C42" s="22" t="str">
        <x:v>Texas Instruments</x:v>
      </x:c>
      <x:c r="D42" s="22" t="str">
        <x:v>TPS7B8450QWDRBRQ1</x:v>
      </x:c>
      <x:c r="E42" s="22" t="str">
        <x:v>C3751394</x:v>
      </x:c>
      <x:c r="F42" s="23" t="n">
        <x:v>1</x:v>
      </x:c>
      <x:c r="G42" s="13" t="n">
        <x:v>1</x:v>
      </x:c>
      <x:c r="H42" s="13" t="n">
        <x:v>1</x:v>
      </x:c>
      <x:c r="I42" s="14" t="n">
        <x:f>IF(OR(D42="",G42="",H42=""),"",IF(COUNTIF($D$11:D42,D42)&gt;1,0,ROUNDUP(MAX(SUMIF($D$11:$D$111,D42,$F$11:$F$111),G42)/H42,0)*H42))</x:f>
        <x:v>1</x:v>
      </x:c>
      <x:c r="J42" s="6" t="n">
        <x:v>1</x:v>
      </x:c>
      <x:c r="K42" s="28" t="n">
        <x:v>1.3452</x:v>
      </x:c>
      <x:c r="L42" s="30" t="n">
        <x:f>IF(K42="","",ROUND(F42*K42,4))</x:f>
        <x:v>1.3452</x:v>
      </x:c>
      <x:c r="M42" s="30" t="n">
        <x:f>IF(OR(K42="",I42="",N42=""),"",IF(N42&gt;=I42,ROUND(I42*K42,4),""))</x:f>
        <x:v>1.3452</x:v>
      </x:c>
      <x:c r="N42" s="7" t="n">
        <x:v>1</x:v>
      </x:c>
      <x:c r="O42" s="1" t="str">
        <x:v>In stock; part/package/value verified 2026-10-10 against LCSC listing C3751394 (TI TPS7B8450QWDRBRQ1, SON-8(3x3)); JLC extended; LCSC stock 1, JLC list stock 1 at lookup vs order qty 1; price is the listed ladder at order qty; re-check at order.</x:v>
      </x:c>
      <x:c r="P42" s="4" t="n">
        <x:v>46305</x:v>
      </x:c>
      <x:c r="Q42" s="1" t="str">
        <x:v>2026-10-10</x:v>
      </x:c>
      <x:c r="R42" s="1" t="str">
        <x:v>LCSC snapshot 2026-10-05: 1 pc in stock; $1.3452 at 1+, MOQ/multiple 1 (standard pack 3000; LCSC allows single-piece purchase). Stock is thin and may sell before ordering. TI TPS7B84-Q1: fixed 5V, 150mA, 40V input; startup/surge/dropout and thermal qualification open. Datasheet: ../datasheets/TPS7B84-Q1.pdf.</x:v>
      </x:c>
      <x:c r="S42" s="1" t="str">
        <x:v>https://www.lcsc.com/product-detail/C3751394.html</x:v>
      </x:c>
    </x:row>
    <x:row r="43" ht="36" customHeight="1">
      <x:c r="A43" s="22" t="str">
        <x:v>U20</x:v>
      </x:c>
      <x:c r="B43" s="22" t="str">
        <x:v>USB and system logic priority mux</x:v>
      </x:c>
      <x:c r="C43" s="22" t="str">
        <x:v>Texas Instruments</x:v>
      </x:c>
      <x:c r="D43" s="22" t="str">
        <x:v>TPS2116DRLR</x:v>
      </x:c>
      <x:c r="E43" s="22" t="str">
        <x:v>C3235557</x:v>
      </x:c>
      <x:c r="F43" s="23" t="n">
        <x:v>1</x:v>
      </x:c>
      <x:c r="G43" s="13" t="n">
        <x:v>1</x:v>
      </x:c>
      <x:c r="H43" s="13" t="n">
        <x:v>1</x:v>
      </x:c>
      <x:c r="I43" s="14" t="n">
        <x:f>IF(OR(D43="",G43="",H43=""),"",IF(COUNTIF($D$11:D43,D43)&gt;1,0,ROUNDUP(MAX(SUMIF($D$11:$D$111,D43,$F$11:$F$111),G43)/H43,0)*H43))</x:f>
        <x:v>1</x:v>
      </x:c>
      <x:c r="J43" s="6" t="n">
        <x:v>1</x:v>
      </x:c>
      <x:c r="K43" s="28" t="n">
        <x:v>0.4029</x:v>
      </x:c>
      <x:c r="L43" s="30" t="n">
        <x:f>IF(K43="","",ROUND(F43*K43,4))</x:f>
        <x:v>0.4029</x:v>
      </x:c>
      <x:c r="M43" s="30" t="n">
        <x:f>IF(OR(K43="",I43="",N43=""),"",IF(N43&gt;=I43,ROUND(I43*K43,4),""))</x:f>
        <x:v>0.4029</x:v>
      </x:c>
      <x:c r="N43" s="7" t="n">
        <x:v>75844</x:v>
      </x:c>
      <x:c r="O43" s="1" t="str">
        <x:v>In stock; part/package/value verified 2026-10-10 against LCSC listing C3235557 (TI TPS2116DRLR, SOT-583); JLC extended; LCSC stock 75844, JLC list stock 75827 at lookup vs order qty 1; price is the listed ladder at order qty; re-check at order.</x:v>
      </x:c>
      <x:c r="P43" s="4" t="n">
        <x:v>46305</x:v>
      </x:c>
      <x:c r="Q43" s="1" t="str">
        <x:v>2026-10-10</x:v>
      </x:c>
      <x:c r="R43" s="1" t="str">
        <x:v>Selected MPN/LCSC mapping; current stock and price not verified.</x:v>
      </x:c>
      <x:c r="S43" s="1" t="str">
        <x:v>https://www.lcsc.com/product-detail/C3235557.html</x:v>
      </x:c>
    </x:row>
    <x:row r="44" ht="36" customHeight="1">
      <x:c r="A44" s="22" t="str">
        <x:v>U21</x:v>
      </x:c>
      <x:c r="B44" s="22" t="str">
        <x:v>Gauge undervoltage supervisor</x:v>
      </x:c>
      <x:c r="C44" s="22" t="str">
        <x:v>Texas Instruments</x:v>
      </x:c>
      <x:c r="D44" s="22" t="str">
        <x:v>TPS3839G33DBZR</x:v>
      </x:c>
      <x:c r="E44" s="22" t="str">
        <x:v>C485802</x:v>
      </x:c>
      <x:c r="F44" s="23" t="n">
        <x:v>1</x:v>
      </x:c>
      <x:c r="G44" s="13" t="n">
        <x:v>1</x:v>
      </x:c>
      <x:c r="H44" s="13" t="n">
        <x:v>1</x:v>
      </x:c>
      <x:c r="I44" s="14" t="n">
        <x:f>IF(OR(D44="",G44="",H44=""),"",IF(COUNTIF($D$11:D44,D44)&gt;1,0,ROUNDUP(MAX(SUMIF($D$11:$D$111,D44,$F$11:$F$111),G44)/H44,0)*H44))</x:f>
        <x:v>1</x:v>
      </x:c>
      <x:c r="J44" s="6" t="n">
        <x:v>1</x:v>
      </x:c>
      <x:c r="K44" s="28" t="n">
        <x:v>0.439</x:v>
      </x:c>
      <x:c r="L44" s="30" t="n">
        <x:f>IF(K44="","",ROUND(F44*K44,4))</x:f>
        <x:v>0.439</x:v>
      </x:c>
      <x:c r="M44" s="30" t="n">
        <x:f>IF(OR(K44="",I44="",N44=""),"",IF(N44&gt;=I44,ROUND(I44*K44,4),""))</x:f>
        <x:v>0.439</x:v>
      </x:c>
      <x:c r="N44" s="7" t="n">
        <x:v>3315</x:v>
      </x:c>
      <x:c r="O44" s="1" t="str">
        <x:v>In stock; part/package/value verified 2026-10-10 against LCSC listing C485802 (TI TPS3839G33DBZR, SOT-23-3); JLC extended; LCSC stock 3315, JLC list stock 3315 at lookup vs order qty 1; price is the listed ladder at order qty; re-check at order.</x:v>
      </x:c>
      <x:c r="P44" s="4" t="n">
        <x:v>46305</x:v>
      </x:c>
      <x:c r="Q44" s="1" t="str">
        <x:v>2026-10-10</x:v>
      </x:c>
      <x:c r="R44" s="1"/>
      <x:c r="S44" s="1" t="str">
        <x:v>https://www.lcsc.com/product-detail/C485802.html</x:v>
      </x:c>
    </x:row>
    <x:row r="45" ht="36" customHeight="1">
      <x:c r="A45" s="22" t="str">
        <x:v>J6</x:v>
      </x:c>
      <x:c r="B45" s="22" t="str">
        <x:v>MCU SWD header 1x4 2.54 mm (J7 Tag-Connect TC2030 is PCB pads only, no BOM part)</x:v>
      </x:c>
      <x:c r="C45" s="22" t="str">
        <x:v>Ckmtw</x:v>
      </x:c>
      <x:c r="D45" s="22" t="str">
        <x:v>B-2100S04P-A110</x:v>
      </x:c>
      <x:c r="E45" s="22" t="str">
        <x:v>C124378</x:v>
      </x:c>
      <x:c r="F45" s="23" t="n">
        <x:v>1</x:v>
      </x:c>
      <x:c r="G45" s="13" t="n">
        <x:v>10</x:v>
      </x:c>
      <x:c r="H45" s="13" t="n">
        <x:v>10</x:v>
      </x:c>
      <x:c r="I45" s="14" t="n">
        <x:f>IF(OR(D45="",G45="",H45=""),"",IF(COUNTIF($D$11:D45,D45)&gt;1,0,ROUNDUP(MAX(SUMIF($D$11:$D$111,D45,$F$11:$F$111),G45)/H45,0)*H45))</x:f>
        <x:v>0</x:v>
      </x:c>
      <x:c r="J45" s="6" t="n">
        <x:v>10</x:v>
      </x:c>
      <x:c r="K45" s="28" t="n">
        <x:v>0.0565</x:v>
      </x:c>
      <x:c r="L45" s="30" t="n">
        <x:f>IF(K45="","",ROUND(F45*K45,4))</x:f>
        <x:v>0.0565</x:v>
      </x:c>
      <x:c r="M45" s="30" t="str">
        <x:f>IF(OR(K45="",I45="",N45=""),"",IF(N45&gt;=I45,ROUND(I45*K45,4),""))</x:f>
      </x:c>
      <x:c r="N45" s="7" t="n">
        <x:v>52690</x:v>
      </x:c>
      <x:c r="O45" s="1" t="str">
        <x:v>In stock; part/package/value verified 2026-10-10 against LCSC listing C124378 (Ckmtw B-2100S04P-A110, Through Hole,P=2.54mm); JLC extended; LCSC stock 52690, JLC list stock 70808 at lookup vs order qty 10; price is the listed ladder at order qty; re-check at order.</x:v>
      </x:c>
      <x:c r="P45" s="4" t="n">
        <x:v>46305</x:v>
      </x:c>
      <x:c r="Q45" s="1" t="str">
        <x:v>2026-10-10</x:v>
      </x:c>
      <x:c r="R45" s="1" t="str">
        <x:v>1x4 straight THT header; footprint PinHeader_1x04_P2.54mm_Vertical (stock KiCad STEP). Pin order 1 SWDIO 2 SWCLK 3 NRST 4 GND. Programmer cable TC2030-IDC (legged footprint J7) is a tool, not fitted. J4 (PD I2C service header) uses the same 1x4 2.54 mm straight THT header as J6 (footprint PD_SERVICE_HDR is 1x04 2.54 mm); selected 2026-10-10 to match the footprint.</x:v>
      </x:c>
      <x:c r="S45" s="1" t="str">
        <x:v>https://www.lcsc.com/product-detail/C124378.html</x:v>
      </x:c>
    </x:row>
    <x:row r="46" ht="36" customHeight="1">
      <x:c r="A46" s="22" t="str">
        <x:v>Y170</x:v>
      </x:c>
      <x:c r="B46" s="22" t="str">
        <x:v>12 MHz crystal for PCM2902C (3225-4P, CL 20 pF, +/-10 ppm)</x:v>
      </x:c>
      <x:c r="C46" s="22" t="str">
        <x:v>KYX</x:v>
      </x:c>
      <x:c r="D46" s="22" t="str">
        <x:v>K3A120002010</x:v>
      </x:c>
      <x:c r="E46" s="22" t="str">
        <x:v>C368730</x:v>
      </x:c>
      <x:c r="F46" s="23" t="n">
        <x:v>1</x:v>
      </x:c>
      <x:c r="G46" s="13" t="n">
        <x:v>10</x:v>
      </x:c>
      <x:c r="H46" s="13" t="n">
        <x:v>10</x:v>
      </x:c>
      <x:c r="I46" s="14" t="n">
        <x:f>IF(OR(D46="",G46="",H46=""),"",IF(COUNTIF($D$11:D46,D46)&gt;1,0,ROUNDUP(MAX(SUMIF($D$11:$D$111,D46,$F$11:$F$111),G46)/H46,0)*H46))</x:f>
        <x:v>10</x:v>
      </x:c>
      <x:c r="J46" s="6" t="n">
        <x:v>10</x:v>
      </x:c>
      <x:c r="K46" s="28" t="n">
        <x:v>0.0593</x:v>
      </x:c>
      <x:c r="L46" s="30" t="n">
        <x:f>IF(K46="","",ROUND(F46*K46,4))</x:f>
        <x:v>0.0593</x:v>
      </x:c>
      <x:c r="M46" s="30" t="n">
        <x:f>IF(OR(K46="",I46="",N46=""),"",IF(N46&gt;=I46,ROUND(I46*K46,4),""))</x:f>
        <x:v>0.593</x:v>
      </x:c>
      <x:c r="N46" s="7" t="n">
        <x:v>67070</x:v>
      </x:c>
      <x:c r="O46" s="1" t="str">
        <x:v>In stock; coordinator-approved substitution 2026-10-10 (was X322512MSB4SI C9002); verified against LCSC listing C368730 (KYX K3A120002010, SMD3225-4P; ±20ppm, 20pF, ±10ppm, 12MHz); LCSC stock 67070 at lookup vs order qty 10; price is the listed ladder at order qty; re-check at order.</x:v>
      </x:c>
      <x:c r="P46" s="4" t="n">
        <x:v>46305</x:v>
      </x:c>
      <x:c r="Q46" s="1" t="str">
        <x:v>2026-10-10</x:v>
      </x:c>
      <x:c r="R46" s="1" t="str">
        <x:v>Search-result snapshot; datasheet not retrieved. Pads 1/3 crystal, 2/4 GND assumed (generic 3225-4P) - verify. 33 pF load caps (C177/C178) give ~19.5 pF effective CL incl. stray, vs 20 pF rating. SUBSTITUTION 2026-10-10 (coordinator-approved): X322512MSB4SI C9002 -&gt; K3A120002010 C368730. Original X322512MSB4SI stock 0 at LCSC; same 12 MHz, CL 20 pF, +/-10 ppm tolerance, +/-20 ppm stability, ESR 80 ohm, 3225-4P, -40..85 C.</x:v>
      </x:c>
      <x:c r="S46" s="1" t="str">
        <x:v>https://www.lcsc.com/product-detail/C368730.html</x:v>
      </x:c>
    </x:row>
    <x:row r="47" ht="36" customHeight="1">
      <x:c r="A47" s="22" t="str">
        <x:v>J8</x:v>
      </x:c>
      <x:c r="B47" s="22" t="str">
        <x:v>BM83 test/programming header 1x5 2.54 mm (RST_N, P3_4, UART RX/TX, GND)</x:v>
      </x:c>
      <x:c r="C47" s="22" t="str">
        <x:v>XYECONN</x:v>
      </x:c>
      <x:c r="D47" s="22" t="str">
        <x:v>XY-MTP254-1X5</x:v>
      </x:c>
      <x:c r="E47" s="22" t="str">
        <x:v>C54110162</x:v>
      </x:c>
      <x:c r="F47" s="23" t="n">
        <x:v>1</x:v>
      </x:c>
      <x:c r="G47" s="13" t="n">
        <x:v>10</x:v>
      </x:c>
      <x:c r="H47" s="13" t="n">
        <x:v>10</x:v>
      </x:c>
      <x:c r="I47" s="14" t="n">
        <x:f>IF(OR(D47="",G47="",H47=""),"",IF(COUNTIF($D$11:D47,D47)&gt;1,0,ROUNDUP(MAX(SUMIF($D$11:$D$111,D47,$F$11:$F$111),G47)/H47,0)*H47))</x:f>
        <x:v>10</x:v>
      </x:c>
      <x:c r="J47" s="6" t="n">
        <x:v>10</x:v>
      </x:c>
      <x:c r="K47" s="28" t="n">
        <x:v>0.0381</x:v>
      </x:c>
      <x:c r="L47" s="30" t="n">
        <x:f>IF(K47="","",ROUND(F47*K47,4))</x:f>
        <x:v>0.0381</x:v>
      </x:c>
      <x:c r="M47" s="30" t="n">
        <x:f>IF(OR(K47="",I47="",N47=""),"",IF(N47&gt;=I47,ROUND(I47*K47,4),""))</x:f>
        <x:v>0.381</x:v>
      </x:c>
      <x:c r="N47" s="7" t="n">
        <x:v>1830</x:v>
      </x:c>
      <x:c r="O47" s="1" t="str">
        <x:v>In stock; part/package/value verified 2026-10-10 against LCSC listing C54110162 (XYECONN XY-MTP254-1X5, Through Hole,P=2.54mm); JLC extended; LCSC stock 1830, JLC list stock 1838 at lookup vs order qty 10; price is the listed ladder at order qty; re-check at order.</x:v>
      </x:c>
      <x:c r="P47" s="4" t="n">
        <x:v>46305</x:v>
      </x:c>
      <x:c r="Q47" s="1" t="str">
        <x:v>2026-10-10</x:v>
      </x:c>
      <x:c r="R47" s="1" t="str">
        <x:v>Bluetooth sheet; part number carried from the earlier 1x5 SWD header selection, not re-verified.</x:v>
      </x:c>
      <x:c r="S47" s="1" t="str">
        <x:v>https://www.lcsc.com/product-detail/C54110162.html</x:v>
      </x:c>
    </x:row>
    <x:row r="48" ht="36" customHeight="1">
      <x:c r="A48" s="22" t="str">
        <x:v>U24</x:v>
      </x:c>
      <x:c r="B48" s="22" t="str">
        <x:v>Audio ADC 4:1 input, I2S master (TSSOP-30)</x:v>
      </x:c>
      <x:c r="C48" s="22" t="str">
        <x:v>TI</x:v>
      </x:c>
      <x:c r="D48" s="22" t="str">
        <x:v>PCM1862DBTR</x:v>
      </x:c>
      <x:c r="E48" s="22" t="str">
        <x:v>C544647</x:v>
      </x:c>
      <x:c r="F48" s="23" t="n">
        <x:v>1</x:v>
      </x:c>
      <x:c r="G48" s="13" t="n">
        <x:v>1</x:v>
      </x:c>
      <x:c r="H48" s="13" t="n">
        <x:v>1</x:v>
      </x:c>
      <x:c r="I48" s="14" t="n">
        <x:f>IF(OR(D48="",G48="",H48=""),"",IF(COUNTIF($D$11:D48,D48)&gt;1,0,ROUNDUP(MAX(SUMIF($D$11:$D$111,D48,$F$11:$F$111),G48)/H48,0)*H48))</x:f>
        <x:v>1</x:v>
      </x:c>
      <x:c r="J48" s="6" t="n">
        <x:v>1</x:v>
      </x:c>
      <x:c r="K48" s="28" t="n">
        <x:v>2.7494</x:v>
      </x:c>
      <x:c r="L48" s="30" t="n">
        <x:f>IF(K48="","",ROUND(F48*K48,4))</x:f>
        <x:v>2.7494</x:v>
      </x:c>
      <x:c r="M48" s="30" t="n">
        <x:f>IF(OR(K48="",I48="",N48=""),"",IF(N48&gt;=I48,ROUND(I48*K48,4),""))</x:f>
        <x:v>2.7494</x:v>
      </x:c>
      <x:c r="N48" s="7" t="n">
        <x:v>2190</x:v>
      </x:c>
      <x:c r="O48" s="1" t="str">
        <x:v>In stock; part/package/value verified 2026-10-10 against LCSC listing C544647 (TI PCM1862DBTR, TSSOP-30); JLC extended; LCSC stock 2190, JLC list stock 2190 at lookup vs order qty 1; price is the listed ladder at order qty; re-check at order.</x:v>
      </x:c>
      <x:c r="P48" s="4" t="n">
        <x:v>46305</x:v>
      </x:c>
      <x:c r="Q48" s="1" t="str">
        <x:v>2026-10-10</x:v>
      </x:c>
      <x:c r="R48" s="1" t="str">
        <x:v>Source_Select_ADC sheet, 2026-10-06. Datasheet SLAS831D.</x:v>
      </x:c>
      <x:c r="S48" s="1" t="str">
        <x:v>https://www.lcsc.com/product-detail/C544647.html</x:v>
      </x:c>
    </x:row>
    <x:row r="49" ht="36" customHeight="1">
      <x:c r="A49" s="22" t="str">
        <x:v>U22</x:v>
      </x:c>
      <x:c r="B49" s="22" t="str">
        <x:v>3V3_AUDIO 300 mA ultra-low-noise LDO</x:v>
      </x:c>
      <x:c r="C49" s="22" t="str">
        <x:v>TI</x:v>
      </x:c>
      <x:c r="D49" s="22" t="str">
        <x:v>TPS7A2033PDBVR</x:v>
      </x:c>
      <x:c r="E49" s="22" t="str">
        <x:v>C2862740</x:v>
      </x:c>
      <x:c r="F49" s="23" t="n">
        <x:v>1</x:v>
      </x:c>
      <x:c r="G49" s="13" t="n">
        <x:v>5</x:v>
      </x:c>
      <x:c r="H49" s="13" t="n">
        <x:v>5</x:v>
      </x:c>
      <x:c r="I49" s="14" t="n">
        <x:f>IF(OR(D49="",G49="",H49=""),"",IF(COUNTIF($D$11:D49,D49)&gt;1,0,ROUNDUP(MAX(SUMIF($D$11:$D$111,D49,$F$11:$F$111),G49)/H49,0)*H49))</x:f>
        <x:v>5</x:v>
      </x:c>
      <x:c r="J49" s="6" t="n">
        <x:v>5</x:v>
      </x:c>
      <x:c r="K49" s="28" t="n">
        <x:v>0.2175</x:v>
      </x:c>
      <x:c r="L49" s="30" t="n">
        <x:f>IF(K49="","",ROUND(F49*K49,4))</x:f>
        <x:v>0.2175</x:v>
      </x:c>
      <x:c r="M49" s="30" t="n">
        <x:f>IF(OR(K49="",I49="",N49=""),"",IF(N49&gt;=I49,ROUND(I49*K49,4),""))</x:f>
        <x:v>1.0875</x:v>
      </x:c>
      <x:c r="N49" s="7" t="n">
        <x:v>189350</x:v>
      </x:c>
      <x:c r="O49" s="1" t="str">
        <x:v>In stock; part/package/value verified 2026-10-10 against LCSC listing C2862740 (TI TPS7A2033PDBVR, SOT-23-5); JLC extended; LCSC stock 189350, JLC list stock 194996 at lookup vs order qty 5; price is the listed ladder at order qty; re-check at order.</x:v>
      </x:c>
      <x:c r="P49" s="4" t="n">
        <x:v>46305</x:v>
      </x:c>
      <x:c r="Q49" s="1" t="str">
        <x:v>2026-10-10</x:v>
      </x:c>
      <x:c r="R49" s="1" t="str">
        <x:v>Source_Select_ADC sheet, 2026-10-06. A TECH PUBLIC TPS7A2033PDBVR-TP clone is listed as C49452001; TI part chosen.</x:v>
      </x:c>
      <x:c r="S49" s="1" t="str">
        <x:v>https://www.lcsc.com/product-detail/C2862740.html</x:v>
      </x:c>
    </x:row>
    <x:row r="50" ht="36" customHeight="1">
      <x:c r="A50" s="22" t="str">
        <x:v>U23</x:v>
      </x:c>
      <x:c r="B50" s="22" t="str">
        <x:v>5V_CODEC load switch (SOT-23-6)</x:v>
      </x:c>
      <x:c r="C50" s="22" t="str">
        <x:v>TI</x:v>
      </x:c>
      <x:c r="D50" s="22" t="str">
        <x:v>TPS22917DBVR</x:v>
      </x:c>
      <x:c r="E50" s="22" t="str">
        <x:v>C2681320</x:v>
      </x:c>
      <x:c r="F50" s="23" t="n">
        <x:v>1</x:v>
      </x:c>
      <x:c r="G50" s="13" t="n">
        <x:v>5</x:v>
      </x:c>
      <x:c r="H50" s="13" t="n">
        <x:v>5</x:v>
      </x:c>
      <x:c r="I50" s="14" t="n">
        <x:f>IF(OR(D50="",G50="",H50=""),"",IF(COUNTIF($D$11:D50,D50)&gt;1,0,ROUNDUP(MAX(SUMIF($D$11:$D$111,D50,$F$11:$F$111),G50)/H50,0)*H50))</x:f>
        <x:v>5</x:v>
      </x:c>
      <x:c r="J50" s="6" t="n">
        <x:v>5</x:v>
      </x:c>
      <x:c r="K50" s="28" t="n">
        <x:v>0.4021</x:v>
      </x:c>
      <x:c r="L50" s="30" t="n">
        <x:f>IF(K50="","",ROUND(F50*K50,4))</x:f>
        <x:v>0.4021</x:v>
      </x:c>
      <x:c r="M50" s="30" t="n">
        <x:f>IF(OR(K50="",I50="",N50=""),"",IF(N50&gt;=I50,ROUND(I50*K50,4),""))</x:f>
        <x:v>2.0105</x:v>
      </x:c>
      <x:c r="N50" s="7" t="n">
        <x:v>24610</x:v>
      </x:c>
      <x:c r="O50" s="1" t="str">
        <x:v>In stock; part/package/value verified 2026-10-10 against LCSC listing C2681320 (TI TPS22917DBVR, SOT-23-6); JLC extended; LCSC stock 24610, JLC list stock 24614 at lookup vs order qty 5; price is the listed ladder at order qty; re-check at order.</x:v>
      </x:c>
      <x:c r="P50" s="4" t="n">
        <x:v>46305</x:v>
      </x:c>
      <x:c r="Q50" s="1" t="str">
        <x:v>2026-10-10</x:v>
      </x:c>
      <x:c r="R50" s="1" t="str">
        <x:v>Source_Select_ADC sheet, 2026-10-06. Pinout checked against SLVSDW8B.</x:v>
      </x:c>
      <x:c r="S50" s="1" t="str">
        <x:v>https://www.lcsc.com/product-detail/C2681320.html</x:v>
      </x:c>
    </x:row>
    <x:row r="51" ht="36" customHeight="1">
      <x:c r="A51" s="22" t="str">
        <x:v>Y200</x:v>
      </x:c>
      <x:c r="B51" s="22" t="str">
        <x:v>24.576 MHz crystal for PCM1862 (3225-4P, CL 12 pF)</x:v>
      </x:c>
      <x:c r="C51" s="22" t="str">
        <x:v>YXC</x:v>
      </x:c>
      <x:c r="D51" s="22" t="str">
        <x:v>X322524576MOB4SI</x:v>
      </x:c>
      <x:c r="E51" s="22" t="str">
        <x:v>C70568</x:v>
      </x:c>
      <x:c r="F51" s="23" t="n">
        <x:v>1</x:v>
      </x:c>
      <x:c r="G51" s="13" t="n">
        <x:v>5</x:v>
      </x:c>
      <x:c r="H51" s="13" t="n">
        <x:v>5</x:v>
      </x:c>
      <x:c r="I51" s="14" t="n">
        <x:f>IF(OR(D51="",G51="",H51=""),"",IF(COUNTIF($D$11:D51,D51)&gt;1,0,ROUNDUP(MAX(SUMIF($D$11:$D$111,D51,$F$11:$F$111),G51)/H51,0)*H51))</x:f>
        <x:v>5</x:v>
      </x:c>
      <x:c r="J51" s="6" t="n">
        <x:v>5</x:v>
      </x:c>
      <x:c r="K51" s="28" t="n">
        <x:v>0.1042</x:v>
      </x:c>
      <x:c r="L51" s="30" t="n">
        <x:f>IF(K51="","",ROUND(F51*K51,4))</x:f>
        <x:v>0.1042</x:v>
      </x:c>
      <x:c r="M51" s="30" t="n">
        <x:f>IF(OR(K51="",I51="",N51=""),"",IF(N51&gt;=I51,ROUND(I51*K51,4),""))</x:f>
        <x:v>0.521</x:v>
      </x:c>
      <x:c r="N51" s="7" t="n">
        <x:v>4055</x:v>
      </x:c>
      <x:c r="O51" s="1" t="str">
        <x:v>In stock; replacement 2026-10-10 (sync-y200-c275; was JYJE 3TJ424576UYFBC C2149067, 135 in stock); verified against LCSC listing C70568 (YXC X322524576MOB4SI, SMD3225-4P; 24.576MHz, 12pF, ±10ppm, ±20ppm, ESR 50Ω); JLC extended; LCSC stock 4055, JLC list stock 5135 at lookup vs order qty 5; price is the listed ladder at order qty; re-check at order.</x:v>
      </x:c>
      <x:c r="P51" s="4" t="n">
        <x:v>46305</x:v>
      </x:c>
      <x:c r="Q51" s="1" t="str">
        <x:v>2026-10-10</x:v>
      </x:c>
      <x:c r="R51" s="1" t="str">
        <x:v>Source_Select_ADC sheet, 2026-10-06. REPLACEMENT 2026-10-10 (reports/sync-y200-c275.md): JYJE 3TJ424576UYFBC C2149067 (CL 15 pF, 135 in stock) -&gt; YXC X322524576MOB4SI C70568: 24.576 MHz fundamental, CL 12 pF, +/-10 ppm at 25 C, +/-20 ppm -40..85 C, ESR 50 ohm max (16-31 MHz), C0 3 pF max, 3.2 x 2.5 x 0.7 mm, 4055 in stock. Reason: no 15 pF 24.576 MHz 3225 crystal had more than 1000 in stock; with the 12 pF part, C226/C227 change 22 pF -&gt; 15 pF C0G: CL = 15*15/30 + 3-5 pF stray = 10.5-12.5 pF. Lower CL also lowers the gm needed from the PCM1862 1.8 V XI/XO oscillator. Datasheet datasheets/YXC_YSX321SL_X322524576MOB4SI.pdf: pads 1/3 crystal, 2/4 GND, land 1.4 x 1.2 mm at 2.2 x 1.7 mm pitch, matches Crystal_SMD_3225-4Pin_3.2x2.5mm (pad 1 XI, pad 3 XO). History: Lucki L327S240P11L C5261154 (listed as 24 MHz, wrong frequency; stock 0) -&gt; 3TJ424576UYFBC C2149067 -&gt; this part.</x:v>
      </x:c>
      <x:c r="S51" s="1" t="str">
        <x:v>https://www.lcsc.com/product-detail/C70568.html</x:v>
      </x:c>
    </x:row>
    <x:row r="52" ht="36" customHeight="1">
      <x:c r="A52" s="22" t="str">
        <x:v>D200, D201</x:v>
      </x:c>
      <x:c r="B52" s="22" t="str">
        <x:v>Headphone jack / AUX_IN jack ESD, 2-line bidirectional 5 V (SOT-23)</x:v>
      </x:c>
      <x:c r="C52" s="22" t="str">
        <x:v>DOWO (Nexperia PESD5V0S2BT equivalent)</x:v>
      </x:c>
      <x:c r="D52" s="22" t="str">
        <x:v>PESD5V0S2BT</x:v>
      </x:c>
      <x:c r="E52" s="22" t="str">
        <x:v>C5380400</x:v>
      </x:c>
      <x:c r="F52" s="23" t="n">
        <x:v>2</x:v>
      </x:c>
      <x:c r="G52" s="13" t="n">
        <x:v>20</x:v>
      </x:c>
      <x:c r="H52" s="13" t="n">
        <x:v>20</x:v>
      </x:c>
      <x:c r="I52" s="14" t="n">
        <x:f>IF(OR(D52="",G52="",H52=""),"",IF(COUNTIF($D$11:D52,D52)&gt;1,0,ROUNDUP(MAX(SUMIF($D$11:$D$111,D52,$F$11:$F$111),G52)/H52,0)*H52))</x:f>
        <x:v>20</x:v>
      </x:c>
      <x:c r="J52" s="6" t="n">
        <x:v>20</x:v>
      </x:c>
      <x:c r="K52" s="28" t="n">
        <x:v>0.0359</x:v>
      </x:c>
      <x:c r="L52" s="30" t="n">
        <x:f>IF(K52="","",ROUND(F52*K52,4))</x:f>
        <x:v>0.0718</x:v>
      </x:c>
      <x:c r="M52" s="30" t="n">
        <x:f>IF(OR(K52="",I52="",N52=""),"",IF(N52&gt;=I52,ROUND(I52*K52,4),""))</x:f>
        <x:v>0.718</x:v>
      </x:c>
      <x:c r="N52" s="7" t="n">
        <x:v>3120</x:v>
      </x:c>
      <x:c r="O52" s="1" t="str">
        <x:v>In stock; part/package/value verified 2026-10-10 against LCSC listing C5380400 (DOWO PESD5V0S2BT, SOT-23); JLC extended; LCSC stock 3120, JLC list stock 3126 at lookup vs order qty 20; price is the listed ladder at order qty; re-check at order.</x:v>
      </x:c>
      <x:c r="P52" s="4" t="n">
        <x:v>46305</x:v>
      </x:c>
      <x:c r="Q52" s="1" t="str">
        <x:v>2026-10-10</x:v>
      </x:c>
      <x:c r="R52" s="1" t="str">
        <x:v>Headphone_Aux sheet, 2026-10-06. LCSC C5380400 is the DOWO PESD5V0S2BT listing; the Nexperia original was not stock-checked. Pin 3 common (search summary of Nexperia datasheet): VERIFY. Footprint DesktopSpeaker:PESD5V0S2BT (stock SOT-23).</x:v>
      </x:c>
      <x:c r="S52" s="1" t="str">
        <x:v>https://www.lcsc.com/product-detail/C5380400.html</x:v>
      </x:c>
    </x:row>
    <x:row r="53" ht="36" customHeight="1">
      <x:c r="A53" s="22" t="str">
        <x:v>U25</x:v>
      </x:c>
      <x:c r="B53" s="22" t="str">
        <x:v>PVDD boost converter 11.9 V (VQFN-20)</x:v>
      </x:c>
      <x:c r="C53" s="22" t="str">
        <x:v>TI</x:v>
      </x:c>
      <x:c r="D53" s="22" t="str">
        <x:v>TPS61088RHLR</x:v>
      </x:c>
      <x:c r="E53" s="22" t="str">
        <x:v>C87357</x:v>
      </x:c>
      <x:c r="F53" s="23" t="n">
        <x:v>1</x:v>
      </x:c>
      <x:c r="G53" s="13" t="n">
        <x:v>1</x:v>
      </x:c>
      <x:c r="H53" s="13" t="n">
        <x:v>1</x:v>
      </x:c>
      <x:c r="I53" s="14" t="n">
        <x:f>IF(OR(D53="",G53="",H53=""),"",IF(COUNTIF($D$11:D53,D53)&gt;1,0,ROUNDUP(MAX(SUMIF($D$11:$D$111,D53,$F$11:$F$111),G53)/H53,0)*H53))</x:f>
        <x:v>1</x:v>
      </x:c>
      <x:c r="J53" s="6" t="n">
        <x:v>1</x:v>
      </x:c>
      <x:c r="K53" s="28" t="n">
        <x:v>1.1702</x:v>
      </x:c>
      <x:c r="L53" s="30" t="n">
        <x:f>IF(K53="","",ROUND(F53*K53,4))</x:f>
        <x:v>1.1702</x:v>
      </x:c>
      <x:c r="M53" s="30" t="n">
        <x:f>IF(OR(K53="",I53="",N53=""),"",IF(N53&gt;=I53,ROUND(I53*K53,4),""))</x:f>
        <x:v>1.1702</x:v>
      </x:c>
      <x:c r="N53" s="7" t="n">
        <x:v>2785</x:v>
      </x:c>
      <x:c r="O53" s="1" t="str">
        <x:v>In stock; part/package/value verified 2026-10-10 against LCSC listing C87357 (TI TPS61088RHLR, VQFN-20-EP(3.6x4.6)); JLC extended; LCSC stock 2785, JLC list stock 4104 at lookup vs order qty 1; price is the listed ladder at order qty; re-check at order.</x:v>
      </x:c>
      <x:c r="P53" s="4" t="n">
        <x:v>46305</x:v>
      </x:c>
      <x:c r="Q53" s="1" t="str">
        <x:v>2026-10-10</x:v>
      </x:c>
      <x:c r="R53" s="1" t="str">
        <x:v>Amplifiers sheet, 2026-10-06. 499k/56k feedback, 301k RFREQ, 150k ILIM. Pad map and 3D from the EasyEDA official package; verify against TI RHL0020A before PCB.</x:v>
      </x:c>
      <x:c r="S53" s="1" t="str">
        <x:v>https://www.lcsc.com/product-detail/C87357.html</x:v>
      </x:c>
    </x:row>
    <x:row r="54" ht="36" customHeight="1">
      <x:c r="A54" s="22" t="str">
        <x:v>L200</x:v>
      </x:c>
      <x:c r="B54" s="22" t="str">
        <x:v>Boost inductor 2.2uH, Isat 19.6 A, Irms 17.8 A, 6.3 mohm</x:v>
      </x:c>
      <x:c r="C54" s="22" t="str">
        <x:v>Coilcraft</x:v>
      </x:c>
      <x:c r="D54" s="22" t="str">
        <x:v>XAL7070-222MEC</x:v>
      </x:c>
      <x:c r="E54" s="22" t="str">
        <x:v>C3911470</x:v>
      </x:c>
      <x:c r="F54" s="23" t="n">
        <x:v>1</x:v>
      </x:c>
      <x:c r="G54" s="13" t="n">
        <x:v>1</x:v>
      </x:c>
      <x:c r="H54" s="13" t="n">
        <x:v>1</x:v>
      </x:c>
      <x:c r="I54" s="14" t="n">
        <x:f>IF(OR(D54="",G54="",H54=""),"",IF(COUNTIF($D$11:D54,D54)&gt;1,0,ROUNDUP(MAX(SUMIF($D$11:$D$111,D54,$F$11:$F$111),G54)/H54,0)*H54))</x:f>
        <x:v>1</x:v>
      </x:c>
      <x:c r="J54" s="6" t="n">
        <x:v>1</x:v>
      </x:c>
      <x:c r="K54" s="28" t="n">
        <x:v>8.2372</x:v>
      </x:c>
      <x:c r="L54" s="30" t="n">
        <x:f>IF(K54="","",ROUND(F54*K54,4))</x:f>
        <x:v>8.2372</x:v>
      </x:c>
      <x:c r="M54" s="30" t="n">
        <x:f>IF(OR(K54="",I54="",N54=""),"",IF(N54&gt;=I54,ROUND(I54*K54,4),""))</x:f>
        <x:v>8.2372</x:v>
      </x:c>
      <x:c r="N54" s="7" t="n">
        <x:v>262</x:v>
      </x:c>
      <x:c r="O54" s="1" t="str">
        <x:v>In stock; part/package/value verified 2026-10-10 against LCSC listing C3911470 (Coilcraft XAL7070-222MEC, SMD,7.2x7.5mm); JLC extended; LCSC stock 262, JLC list stock 262 at lookup vs order qty 1; price is the listed ladder at order qty; re-check at order.</x:v>
      </x:c>
      <x:c r="P54" s="4" t="n">
        <x:v>46305</x:v>
      </x:c>
      <x:c r="Q54" s="1" t="str">
        <x:v>2026-10-10</x:v>
      </x:c>
      <x:c r="R54" s="1" t="str">
        <x:v>Amplifiers sheet, 2026-10-06. Not stocked at LCSC per search; alternatives: Cyntec PIMB104T-2R2MS (datasheet table 2, 18 A / 12 A) or Bourns SRP1265A-2R2M class. Stock KiCad XAL7070 footprint (7.5 x 7.2 mm). Found at LCSC 2026-10-10 (earlier note said not stocked): C3911470, Coilcraft XAL7070-222MEC 2.2uH, 19.6 A / 17.8 A, 6.33 mohm, 7.2x7.5 mm, 262 in stock at $8.1549 each (listing; low stock vs Isat &gt;= 12 A requirement, order promptly). Substitute proposals in reports/bom-sourcing-pass.md. 2026-10-10 coordinator decision: keep XAL7070-222MEC (Isat 17.8-19.6 A &gt;= 12 A required, 262 in stock); no substitution.</x:v>
      </x:c>
      <x:c r="S54" s="1" t="str">
        <x:v>https://www.lcsc.com/product-detail/C3911470.html</x:v>
      </x:c>
    </x:row>
    <x:row r="55" ht="36" customHeight="1">
      <x:c r="A55" s="22" t="str">
        <x:v>L201, L202, L203, L204, L205, L206</x:v>
      </x:c>
      <x:c r="B55" s="22" t="str">
        <x:v>Speaker output filter inductors 22uH, 7.5 A Isat (peak 2.8 A at 11.1 V into 4 ohm)</x:v>
      </x:c>
      <x:c r="C55" s="22" t="str">
        <x:v>Sunlord</x:v>
      </x:c>
      <x:c r="D55" s="22" t="str">
        <x:v>MWSA1265S-220MT</x:v>
      </x:c>
      <x:c r="E55" s="22" t="str">
        <x:v>C7245133</x:v>
      </x:c>
      <x:c r="F55" s="23" t="n">
        <x:v>6</x:v>
      </x:c>
      <x:c r="G55" s="13" t="n">
        <x:v>1</x:v>
      </x:c>
      <x:c r="H55" s="13" t="n">
        <x:v>1</x:v>
      </x:c>
      <x:c r="I55" s="14" t="n">
        <x:f>IF(OR(D55="",G55="",H55=""),"",IF(COUNTIF($D$11:D55,D55)&gt;1,0,ROUNDUP(MAX(SUMIF($D$11:$D$111,D55,$F$11:$F$111),G55)/H55,0)*H55))</x:f>
        <x:v>6</x:v>
      </x:c>
      <x:c r="J55" s="6" t="n">
        <x:v>1</x:v>
      </x:c>
      <x:c r="K55" s="28" t="n">
        <x:v>0.7183</x:v>
      </x:c>
      <x:c r="L55" s="30" t="n">
        <x:f>IF(K55="","",ROUND(F55*K55,4))</x:f>
        <x:v>4.3098</x:v>
      </x:c>
      <x:c r="M55" s="30" t="n">
        <x:f>IF(OR(K55="",I55="",N55=""),"",IF(N55&gt;=I55,ROUND(I55*K55,4),""))</x:f>
        <x:v>4.3098</x:v>
      </x:c>
      <x:c r="N55" s="7" t="n">
        <x:v>54</x:v>
      </x:c>
      <x:c r="O55" s="1" t="str">
        <x:v>In stock; part/package/value verified 2026-10-10 against LCSC listing C7245133 (Sunlord MWSA1265S-220MT, SMD,13.5x12.6mm); JLC extended; LCSC stock 54, JLC list stock 54 at lookup vs order qty 6; price is the listed ladder at order qty; re-check at order.</x:v>
      </x:c>
      <x:c r="P55" s="4" t="n">
        <x:v>46305</x:v>
      </x:c>
      <x:c r="Q55" s="1" t="str">
        <x:v>2026-10-10</x:v>
      </x:c>
      <x:c r="R55" s="1" t="str">
        <x:v>Amplifiers sheet, 2026-10-06. Sunlord MWSA series datasheet (page 10, MWSA1265S-220MT): L 22 uH +/-20%, DCR 36 mohm max, Isat 7.5 A max (9.0 typ), Irms 6.0 A max (8.0 typ); the earlier 5.0 A note was wrong. Stock KiCad MWSA1265S footprint (13.45 x 12.6 x 6.5 mm). OCP trips at about 7.5 A; confirm the saturation margin against measured peak. Found at LCSC: C7245133 Sunlord MWSA1265S-220MT 22uH 36 mohm, listing shows 6 A / 7.5 A (Irms/Isat order not stated; datasheet value recorded as 5.0 A Isat earlier). Only 54 in stock for 6 required; LCSC product page did not load in the detail API so price/stock are from the JLC parts list. 2026-10-10 check: peak load about 2.8-3.2 A (11.1-12.6 V into 4 ohm), Irms about 2 A, so margin about 2.3x on Isat and 3x on Irms: OK; TAS5825M OCP at about 7.5 A equals the min Isat, so a hard short may saturate the inductor briefly (acceptable, output is OCP-limited). Stock 54 for 6 needed.</x:v>
      </x:c>
      <x:c r="S55" s="1" t="str">
        <x:v>https://www.lcsc.com/product-detail/C7245133.html</x:v>
      </x:c>
    </x:row>
    <x:row r="56" ht="36" customHeight="1">
      <x:c r="A56" s="22" t="str">
        <x:v>J9, J10, J11</x:v>
      </x:c>
      <x:c r="B56" s="22" t="str">
        <x:v>Speaker connectors FRONT_L, FRONT_R, WOOFER (JST VH 2-pin, 10 A)</x:v>
      </x:c>
      <x:c r="C56" s="22" t="str">
        <x:v>JST</x:v>
      </x:c>
      <x:c r="D56" s="22" t="str">
        <x:v>B2P-VH(LF)(SN)</x:v>
      </x:c>
      <x:c r="E56" s="22" t="str">
        <x:v>C160315</x:v>
      </x:c>
      <x:c r="F56" s="23" t="n">
        <x:v>3</x:v>
      </x:c>
      <x:c r="G56" s="13" t="n">
        <x:v>10</x:v>
      </x:c>
      <x:c r="H56" s="13" t="n">
        <x:v>10</x:v>
      </x:c>
      <x:c r="I56" s="14" t="n">
        <x:f>IF(OR(D56="",G56="",H56=""),"",IF(COUNTIF($D$11:D56,D56)&gt;1,0,ROUNDUP(MAX(SUMIF($D$11:$D$111,D56,$F$11:$F$111),G56)/H56,0)*H56))</x:f>
        <x:v>10</x:v>
      </x:c>
      <x:c r="J56" s="6" t="n">
        <x:v>10</x:v>
      </x:c>
      <x:c r="K56" s="28" t="n">
        <x:v>0.0627</x:v>
      </x:c>
      <x:c r="L56" s="30" t="n">
        <x:f>IF(K56="","",ROUND(F56*K56,4))</x:f>
        <x:v>0.1881</x:v>
      </x:c>
      <x:c r="M56" s="30" t="n">
        <x:f>IF(OR(K56="",I56="",N56=""),"",IF(N56&gt;=I56,ROUND(I56*K56,4),""))</x:f>
        <x:v>0.627</x:v>
      </x:c>
      <x:c r="N56" s="7" t="n">
        <x:v>221780</x:v>
      </x:c>
      <x:c r="O56" s="1" t="str">
        <x:v>In stock; part/package/value verified 2026-10-10 against LCSC listing C160315 (JST B2P-VH(LF)(SN), Through Hole,P=3.96mm); JLC extended; LCSC stock 221780, JLC list stock 289955 at lookup vs order qty 10; price is the listed ladder at order qty; re-check at order.</x:v>
      </x:c>
      <x:c r="P56" s="4" t="n">
        <x:v>46305</x:v>
      </x:c>
      <x:c r="Q56" s="1" t="str">
        <x:v>2026-10-10</x:v>
      </x:c>
      <x:c r="R56" s="1" t="str">
        <x:v>Amplifiers sheet, 2026-10-06. Pin 1 +, pin 2 -. No 3D model linked (downloaded STEP axes not verified).</x:v>
      </x:c>
      <x:c r="S56" s="1" t="str">
        <x:v>https://www.lcsc.com/product-detail/C160315.html</x:v>
      </x:c>
    </x:row>
    <x:row r="57" ht="36" customHeight="1">
      <x:c r="A57" s="22" t="str">
        <x:v>C275</x:v>
      </x:c>
      <x:c r="B57" s="22" t="str">
        <x:v>PVDD_AMP bulk 100uF 25V hybrid polymer (D6.3 x 7.7 mm part on CP_Elec_8x10 pads)</x:v>
      </x:c>
      <x:c r="C57" s="22" t="str">
        <x:v>PANASONIC</x:v>
      </x:c>
      <x:c r="D57" s="22" t="str">
        <x:v>EEHZA1E101XP</x:v>
      </x:c>
      <x:c r="E57" s="22" t="str">
        <x:v>C264047</x:v>
      </x:c>
      <x:c r="F57" s="23" t="n">
        <x:v>1</x:v>
      </x:c>
      <x:c r="G57" s="13" t="n">
        <x:v>1</x:v>
      </x:c>
      <x:c r="H57" s="13" t="n">
        <x:v>1</x:v>
      </x:c>
      <x:c r="I57" s="14" t="n">
        <x:f>IF(OR(D57="",G57="",H57=""),"",IF(COUNTIF($D$11:D57,D57)&gt;1,0,ROUNDUP(MAX(SUMIF($D$11:$D$111,D57,$F$11:$F$111),G57)/H57,0)*H57))</x:f>
        <x:v>1</x:v>
      </x:c>
      <x:c r="J57" s="6" t="n">
        <x:v>1</x:v>
      </x:c>
      <x:c r="K57" s="28" t="n">
        <x:v>0.8096</x:v>
      </x:c>
      <x:c r="L57" s="30" t="n">
        <x:f>IF(K57="","",ROUND(F57*K57,4))</x:f>
        <x:v>0.8096</x:v>
      </x:c>
      <x:c r="M57" s="30" t="n">
        <x:f>IF(OR(K57="",I57="",N57=""),"",IF(N57&gt;=I57,ROUND(I57*K57,4),""))</x:f>
        <x:v>0.8096</x:v>
      </x:c>
      <x:c r="N57" s="7" t="n">
        <x:v>1708</x:v>
      </x:c>
      <x:c r="O57" s="1" t="str">
        <x:v>In stock; coordinator-approved substitution 2026-10-10 (was EEH-ZA1E101P unresolved); verified against LCSC listing C264047 (PANASONIC EEHZA1E101XP, SMD,D6.3xL7.7mm; 100uF, 25V, ±20%); LCSC stock 1708 at lookup vs order qty 1; price is the listed ladder at order qty; re-check at order.</x:v>
      </x:c>
      <x:c r="P57" s="4" t="n">
        <x:v>46305</x:v>
      </x:c>
      <x:c r="Q57" s="1" t="str">
        <x:v>2026-10-10</x:v>
      </x:c>
      <x:c r="R57" s="1" t="str">
        <x:v>Amplifiers sheet, 2026-10-06. Bass-burst reservoir; part type not verified. SUBSTITUTION 2026-10-10 (coordinator-approved): EEH-ZA1E101P unresolved -&gt; EEHZA1E101XP C264047. Original EEH-ZA1E101P not listed; same Panasonic EEH-ZA 100 uF 25 V +/-20% hybrid polymer, standard (P) product XP. Pad fit checked vs CP_Elec_8x10: terminals span about +/-0.9 to +/-3.9 mm (datasheet size D8: P 1.8, I 2.6, H 7.8 max, W 0.65; corrected 2026-10-10), pads at +/-3.25 mm, 3.5 x 2.5 mm cover them; 6.3 mm body is inside the 8x10 courtyard. Datasheet ripple 2000 mA rms (listing text of 300 mA is wrong). 3D model repointed 2026-10-10 (reports/sync-y200-c275.md) to kicad-library/3d/CP_Elec_6.3x7.7.step (KiCad library model; measured body D6.3, base 6.6 x 6.6, height 7.7, terminal span 7.8, terminal width 0.65 mm = datasheet D8); pads and copper unchanged.</x:v>
      </x:c>
      <x:c r="S57" s="1" t="str">
        <x:v>https://www.lcsc.com/product-detail/C264047.html</x:v>
      </x:c>
    </x:row>
    <x:row r="58" ht="36" customHeight="1">
      <x:c r="A58" s="22" t="str">
        <x:v>C2, C5</x:v>
      </x:c>
      <x:c r="B58" s="22" t="str">
        <x:v>4.7uF X7R 50V 0805 hand-solder (C_0805_2012Metric)</x:v>
      </x:c>
      <x:c r="C58" s="22" t="str">
        <x:v>TDK</x:v>
      </x:c>
      <x:c r="D58" s="22" t="str">
        <x:v>C2012X7R1H475KT0A0E</x:v>
      </x:c>
      <x:c r="E58" s="22" t="str">
        <x:v>C5159426</x:v>
      </x:c>
      <x:c r="F58" s="23" t="n">
        <x:v>2</x:v>
      </x:c>
      <x:c r="G58" s="13" t="n">
        <x:v>5</x:v>
      </x:c>
      <x:c r="H58" s="13" t="n">
        <x:v>5</x:v>
      </x:c>
      <x:c r="I58" s="14" t="n">
        <x:f>IF(OR(D58="",G58="",H58=""),"",IF(COUNTIF($D$11:D58,D58)&gt;1,0,ROUNDUP(MAX(SUMIF($D$11:$D$111,D58,$F$11:$F$111),G58)/H58,0)*H58))</x:f>
        <x:v>5</x:v>
      </x:c>
      <x:c r="J58" s="6" t="n">
        <x:v>5</x:v>
      </x:c>
      <x:c r="K58" s="28" t="n">
        <x:v>0.201</x:v>
      </x:c>
      <x:c r="L58" s="30" t="n">
        <x:f>IF(K58="","",ROUND(F58*K58,4))</x:f>
        <x:v>0.402</x:v>
      </x:c>
      <x:c r="M58" s="30" t="n">
        <x:f>IF(OR(K58="",I58="",N58=""),"",IF(N58&gt;=I58,ROUND(I58*K58,4),""))</x:f>
        <x:v>1.005</x:v>
      </x:c>
      <x:c r="N58" s="7" t="n">
        <x:v>175</x:v>
      </x:c>
      <x:c r="O58" s="1" t="str">
        <x:v>In stock; coordinator-approved substitution 2026-10-10 (was C2012X7R1H475K125AC C2174853); verified against LCSC listing C5159426 (TDK C2012X7R1H475KT0A0E, 0805; 4.7uF, X7R, ±10%, 50V); LCSC stock 175 at lookup vs order qty 5; price is the listed ladder at order qty; re-check at order.</x:v>
      </x:c>
      <x:c r="P58" s="4" t="n">
        <x:v>46305</x:v>
      </x:c>
      <x:c r="Q58" s="1" t="str">
        <x:v>2026-10-10</x:v>
      </x:c>
      <x:c r="R58" s="1" t="str">
        <x:v>Passive repackage 2026-10-06 (hand-solder policy): was C_1210/C_1206 using CL32B475KBUYNNE, (none). See reports/passive-repackage-2026-10-06.md. Listing stock 0 and $1.30 each. Alternatives: C2012X7R1H475KT0A0E C5159426 (TDK, X7R 50V, 231 in stock, $0.1994); GRM21BR61H475KE51L C162420 (Murata 4.7uF 50V X5R, 117,805, $0.1141). SUBSTITUTION 2026-10-10 (coordinator-approved): C2012X7R1H475K125AC C2174853 -&gt; C2012X7R1H475KT0A0E C5159426. C2/C5 are on USB_VBUS (up to 20 V) and USB_AUX_5V: DC-bias critical, so X5R GRM21BR61H475KE51L C162420 not used; TDK X7R 50 V 0805 +/-10% like-for-like.</x:v>
      </x:c>
      <x:c r="S58" s="1" t="str">
        <x:v>https://www.lcsc.com/product-detail/C5159426.html</x:v>
      </x:c>
    </x:row>
    <x:row r="59" ht="36" customHeight="1">
      <x:c r="A59" s="22" t="str">
        <x:v>C100, C101, C108, C111, C112</x:v>
      </x:c>
      <x:c r="B59" s="22" t="str">
        <x:v>10uF X5R 50V 0805 hand-solder (C_0805_2012Metric)</x:v>
      </x:c>
      <x:c r="C59" s="22" t="str">
        <x:v>Murata</x:v>
      </x:c>
      <x:c r="D59" s="22" t="str">
        <x:v>GRM21BR61H106KE43L</x:v>
      </x:c>
      <x:c r="E59" s="22" t="str">
        <x:v>C440198</x:v>
      </x:c>
      <x:c r="F59" s="23" t="n">
        <x:v>5</x:v>
      </x:c>
      <x:c r="G59" s="13" t="n">
        <x:v>5</x:v>
      </x:c>
      <x:c r="H59" s="13" t="n">
        <x:v>5</x:v>
      </x:c>
      <x:c r="I59" s="14" t="n">
        <x:f>IF(OR(D59="",G59="",H59=""),"",IF(COUNTIF($D$11:D59,D59)&gt;1,0,ROUNDUP(MAX(SUMIF($D$11:$D$111,D59,$F$11:$F$111),G59)/H59,0)*H59))</x:f>
        <x:v>5</x:v>
      </x:c>
      <x:c r="J59" s="6" t="n">
        <x:v>5</x:v>
      </x:c>
      <x:c r="K59" s="28" t="n">
        <x:v>0.2088</x:v>
      </x:c>
      <x:c r="L59" s="30" t="n">
        <x:f>IF(K59="","",ROUND(F59*K59,4))</x:f>
        <x:v>1.044</x:v>
      </x:c>
      <x:c r="M59" s="30" t="n">
        <x:f>IF(OR(K59="",I59="",N59=""),"",IF(N59&gt;=I59,ROUND(I59*K59,4),""))</x:f>
        <x:v>1.044</x:v>
      </x:c>
      <x:c r="N59" s="7" t="n">
        <x:v>495590</x:v>
      </x:c>
      <x:c r="O59" s="1" t="str">
        <x:v>In stock; part/package/value verified 2026-10-10 against LCSC listing C440198 (muRata GRM21BR61H106KE43L, 0805); JLC basic; LCSC stock 495590, JLC list stock 1381671 at lookup vs order qty 5; price is the listed ladder at order qty; re-check at order.</x:v>
      </x:c>
      <x:c r="P59" s="4" t="n">
        <x:v>46305</x:v>
      </x:c>
      <x:c r="Q59" s="1" t="str">
        <x:v>2026-10-10</x:v>
      </x:c>
      <x:c r="R59" s="1" t="str">
        <x:v>Passive repackage 2026-10-06 (hand-solder policy): was C_1210 using CL32B106KBJNNNE. See reports/passive-repackage-2026-10-06.md. MPN not stock-checked unless an LCSC code with price is shown. Value text corrected: listing is X5R.</x:v>
      </x:c>
      <x:c r="S59" s="1" t="str">
        <x:v>https://www.lcsc.com/product-detail/C440198.html</x:v>
      </x:c>
    </x:row>
    <x:row r="60" ht="36" customHeight="1">
      <x:c r="A60" s="22" t="str">
        <x:v>C102, C109, C175, C176, C181, C190, C214, C216, C218, C223</x:v>
      </x:c>
      <x:c r="B60" s="22" t="str">
        <x:v>10uF X7R 10V 0805 hand-solder (C_0805_2012Metric)</x:v>
      </x:c>
      <x:c r="C60" s="22" t="str">
        <x:v>Samsung Electro-Mechanics</x:v>
      </x:c>
      <x:c r="D60" s="22" t="str">
        <x:v>CL21B106KPQNNNE</x:v>
      </x:c>
      <x:c r="E60" s="22" t="str">
        <x:v>C32635</x:v>
      </x:c>
      <x:c r="F60" s="23" t="n">
        <x:v>10</x:v>
      </x:c>
      <x:c r="G60" s="13" t="n">
        <x:v>10</x:v>
      </x:c>
      <x:c r="H60" s="13" t="n">
        <x:v>10</x:v>
      </x:c>
      <x:c r="I60" s="14" t="n">
        <x:f>IF(OR(D60="",G60="",H60=""),"",IF(COUNTIF($D$11:D60,D60)&gt;1,0,ROUNDUP(MAX(SUMIF($D$11:$D$111,D60,$F$11:$F$111),G60)/H60,0)*H60))</x:f>
        <x:v>10</x:v>
      </x:c>
      <x:c r="J60" s="6" t="n">
        <x:v>10</x:v>
      </x:c>
      <x:c r="K60" s="28" t="n">
        <x:v>0.093</x:v>
      </x:c>
      <x:c r="L60" s="30" t="n">
        <x:f>IF(K60="","",ROUND(F60*K60,4))</x:f>
        <x:v>0.93</x:v>
      </x:c>
      <x:c r="M60" s="30" t="n">
        <x:f>IF(OR(K60="",I60="",N60=""),"",IF(N60&gt;=I60,ROUND(I60*K60,4),""))</x:f>
        <x:v>0.93</x:v>
      </x:c>
      <x:c r="N60" s="7" t="n">
        <x:v>195620</x:v>
      </x:c>
      <x:c r="O60" s="1" t="str">
        <x:v>In stock; part/package/value verified 2026-10-10 against LCSC listing C32635 (Samsung Electro-Mechanics CL21B106KPQNNNE, 0805); JLC extended; LCSC stock 195620, JLC list stock 244842 at lookup vs order qty 10; price is the listed ladder at order qty; re-check at order.</x:v>
      </x:c>
      <x:c r="P60" s="4" t="n">
        <x:v>46305</x:v>
      </x:c>
      <x:c r="Q60" s="1" t="str">
        <x:v>2026-10-10</x:v>
      </x:c>
      <x:c r="R60" s="1" t="str">
        <x:v>Passive repackage 2026-10-06 (hand-solder policy): was C_0805 using CL21B106KPQNNNE. See reports/passive-repackage-2026-10-06.md.  Low-risk BOM cut 2026-10-06: removed C185 (reports/bom-reduction-audit.md).</x:v>
      </x:c>
      <x:c r="S60" s="1" t="str">
        <x:v>https://www.lcsc.com/product-detail/C32635.html</x:v>
      </x:c>
    </x:row>
    <x:row r="61" ht="36" customHeight="1">
      <x:c r="A61" s="22" t="str">
        <x:v>C177, C178</x:v>
      </x:c>
      <x:c r="B61" s="22" t="str">
        <x:v>33pF 0402 hand-solder (C_0402_1005Metric)</x:v>
      </x:c>
      <x:c r="C61" s="22" t="str">
        <x:v>FOJAN</x:v>
      </x:c>
      <x:c r="D61" s="22" t="str">
        <x:v>FCC0402N330J500AT</x:v>
      </x:c>
      <x:c r="E61" s="22" t="str">
        <x:v>C5137486</x:v>
      </x:c>
      <x:c r="F61" s="23" t="n">
        <x:v>2</x:v>
      </x:c>
      <x:c r="G61" s="13" t="n">
        <x:v>100</x:v>
      </x:c>
      <x:c r="H61" s="13" t="n">
        <x:v>100</x:v>
      </x:c>
      <x:c r="I61" s="14" t="n">
        <x:f>IF(OR(D61="",G61="",H61=""),"",IF(COUNTIF($D$11:D61,D61)&gt;1,0,ROUNDUP(MAX(SUMIF($D$11:$D$111,D61,$F$11:$F$111),G61)/H61,0)*H61))</x:f>
        <x:v>100</x:v>
      </x:c>
      <x:c r="J61" s="6" t="n">
        <x:v>100</x:v>
      </x:c>
      <x:c r="K61" s="28" t="n">
        <x:v>0.0031</x:v>
      </x:c>
      <x:c r="L61" s="30" t="n">
        <x:f>IF(K61="","",ROUND(F61*K61,4))</x:f>
        <x:v>0.0062</x:v>
      </x:c>
      <x:c r="M61" s="30" t="n">
        <x:f>IF(OR(K61="",I61="",N61=""),"",IF(N61&gt;=I61,ROUND(I61*K61,4),""))</x:f>
        <x:v>0.31</x:v>
      </x:c>
      <x:c r="N61" s="7" t="n">
        <x:v>3577800</x:v>
      </x:c>
      <x:c r="O61" s="1" t="str">
        <x:v>In stock; coordinator-approved substitution 2026-10-10 (was GRM1555C1H330JA01D C76964); verified against LCSC listing C5137486 (FOJAN FCC0402N330J500AT, 0402; 33pF, C0G, ±5%, 50V); LCSC stock 3577800 at lookup vs order qty 100; price is the listed ladder at order qty; re-check at order.</x:v>
      </x:c>
      <x:c r="P61" s="4" t="n">
        <x:v>46305</x:v>
      </x:c>
      <x:c r="Q61" s="1" t="str">
        <x:v>2026-10-10</x:v>
      </x:c>
      <x:c r="R61" s="1" t="str">
        <x:v>Passive repackage 2026-10-06 (hand-solder policy): was C_0603 using CL10C330JB8NNNC. See reports/passive-repackage-2026-10-06.md. Listing stock 0 at lookup. Same-value C0G 33pF 50V 0402 alternatives not searched; check stock again before order. SUBSTITUTION 2026-10-10 (coordinator-approved): GRM1555C1H330JA01D C76964 -&gt; FCC0402N330J500AT C5137486. Original GRM1555C1H330JA01D (C76964) stock 0; same 33 pF C0G 50 V +/-5% 0402 (FOJAN; Samsung CL05C330JB5NNNC C70465 also stock 0 at LCSC).</x:v>
      </x:c>
      <x:c r="S61" s="1" t="str">
        <x:v>https://www.lcsc.com/product-detail/C5137486.html</x:v>
      </x:c>
    </x:row>
    <x:row r="62" ht="36" customHeight="1">
      <x:c r="A62" s="22" t="str">
        <x:v>C182, C183</x:v>
      </x:c>
      <x:c r="B62" s="22" t="str">
        <x:v>330pF C0G (CC1/CC2 filters) 0402 hand-solder (C_0402_1005Metric)</x:v>
      </x:c>
      <x:c r="C62" s="22" t="str">
        <x:v>Murata</x:v>
      </x:c>
      <x:c r="D62" s="22" t="str">
        <x:v>GRM1555C1H331JA01D</x:v>
      </x:c>
      <x:c r="E62" s="22" t="str">
        <x:v>C76965</x:v>
      </x:c>
      <x:c r="F62" s="23" t="n">
        <x:v>2</x:v>
      </x:c>
      <x:c r="G62" s="13" t="n">
        <x:v>1</x:v>
      </x:c>
      <x:c r="H62" s="13" t="n">
        <x:v>1</x:v>
      </x:c>
      <x:c r="I62" s="14" t="n">
        <x:f>IF(OR(D62="",G62="",H62=""),"",IF(COUNTIF($D$11:D62,D62)&gt;1,0,ROUNDUP(MAX(SUMIF($D$11:$D$111,D62,$F$11:$F$111),G62)/H62,0)*H62))</x:f>
        <x:v>2</x:v>
      </x:c>
      <x:c r="J62" s="6" t="n">
        <x:v>1</x:v>
      </x:c>
      <x:c r="K62" s="28" t="n">
        <x:v>0.0118</x:v>
      </x:c>
      <x:c r="L62" s="30" t="n">
        <x:f>IF(K62="","",ROUND(F62*K62,4))</x:f>
        <x:v>0.0236</x:v>
      </x:c>
      <x:c r="M62" s="30" t="n">
        <x:f>IF(OR(K62="",I62="",N62=""),"",IF(N62&gt;=I62,ROUND(I62*K62,4),""))</x:f>
        <x:v>0.0236</x:v>
      </x:c>
      <x:c r="N62" s="7" t="n">
        <x:v>67260</x:v>
      </x:c>
      <x:c r="O62" s="1" t="str">
        <x:v>In stock; part/package/value verified 2026-10-10 against LCSC listing C76965 (muRata GRM1555C1H331JA01D, 0402); JLC extended; LCSC stock 67260, JLC list stock 67260 at lookup vs order qty 2; price is the listed ladder at order qty; re-check at order.</x:v>
      </x:c>
      <x:c r="P62" s="4" t="n">
        <x:v>46305</x:v>
      </x:c>
      <x:c r="Q62" s="1" t="str">
        <x:v>2026-10-10</x:v>
      </x:c>
      <x:c r="R62" s="1" t="str">
        <x:v>Passive repackage 2026-10-06 (hand-solder policy): was C_0603 using CL10C331JB8NNNC. See reports/passive-repackage-2026-10-06.md. MPN not stock-checked unless an LCSC code with price is shown.</x:v>
      </x:c>
      <x:c r="S62" s="1" t="str">
        <x:v>https://www.lcsc.com/product-detail/C76965.html</x:v>
      </x:c>
    </x:row>
    <x:row r="63" ht="36" customHeight="1">
      <x:c r="A63" s="22" t="str">
        <x:v>C206, C207, C208, C209, C210, C211</x:v>
      </x:c>
      <x:c r="B63" s="22" t="str">
        <x:v>10nF C0G 0402 hand-solder (C_0402_1005Metric)</x:v>
      </x:c>
      <x:c r="C63" s="22" t="str">
        <x:v>muRata</x:v>
      </x:c>
      <x:c r="D63" s="22" t="str">
        <x:v>GRM1555C1H103JE01D</x:v>
      </x:c>
      <x:c r="E63" s="22" t="str">
        <x:v>C22400107</x:v>
      </x:c>
      <x:c r="F63" s="23" t="n">
        <x:v>6</x:v>
      </x:c>
      <x:c r="G63" s="13" t="n">
        <x:v>5</x:v>
      </x:c>
      <x:c r="H63" s="13" t="n">
        <x:v>5</x:v>
      </x:c>
      <x:c r="I63" s="14" t="n">
        <x:f>IF(OR(D63="",G63="",H63=""),"",IF(COUNTIF($D$11:D63,D63)&gt;1,0,ROUNDUP(MAX(SUMIF($D$11:$D$111,D63,$F$11:$F$111),G63)/H63,0)*H63))</x:f>
        <x:v>10</x:v>
      </x:c>
      <x:c r="J63" s="6" t="n">
        <x:v>5</x:v>
      </x:c>
      <x:c r="K63" s="28" t="n">
        <x:v>0.0972</x:v>
      </x:c>
      <x:c r="L63" s="30" t="n">
        <x:f>IF(K63="","",ROUND(F63*K63,4))</x:f>
        <x:v>0.5832</x:v>
      </x:c>
      <x:c r="M63" s="30" t="n">
        <x:f>IF(OR(K63="",I63="",N63=""),"",IF(N63&gt;=I63,ROUND(I63*K63,4),""))</x:f>
        <x:v>0.972</x:v>
      </x:c>
      <x:c r="N63" s="7" t="n">
        <x:v>59625</x:v>
      </x:c>
      <x:c r="O63" s="1" t="str">
        <x:v>In stock; coordinator-approved substitution 2026-10-10 (was GRM1555C1H103JA01D unresolved); verified against LCSC listing C22400107 (muRata GRM1555C1H103JE01D, 0402; 10nF, C0G, ±5%, 50V); LCSC stock 59625 at lookup vs order qty 10; price is the listed ladder at order qty; re-check at order.</x:v>
      </x:c>
      <x:c r="P63" s="4" t="n">
        <x:v>46305</x:v>
      </x:c>
      <x:c r="Q63" s="1" t="str">
        <x:v>2026-10-10</x:v>
      </x:c>
      <x:c r="R63" s="1" t="str">
        <x:v>Passive repackage 2026-10-06 (hand-solder policy): was C_0603 using GRM1885C1H103JA01D. See reports/passive-repackage-2026-10-06.md. SUBSTITUTION 2026-10-10 (coordinator-approved): GRM1555C1H103JA01D unresolved -&gt; GRM1555C1H103JE01D C22400107. Original GRM1555C1H103JA01D not listed; same 10 nF C0G 50 V +/-5% 0402, same maker, JE suffix.</x:v>
      </x:c>
      <x:c r="S63" s="1" t="str">
        <x:v>https://www.lcsc.com/product-detail/C22400107.html</x:v>
      </x:c>
    </x:row>
    <x:row r="64" ht="36" customHeight="1">
      <x:c r="A64" s="22" t="str">
        <x:v>C226, C227</x:v>
      </x:c>
      <x:c r="B64" s="22" t="str">
        <x:v>15pF C0G 0402 hand-solder (C_0402_1005Metric)</x:v>
      </x:c>
      <x:c r="C64" s="22" t="str">
        <x:v>Murata</x:v>
      </x:c>
      <x:c r="D64" s="22" t="str">
        <x:v>GRM1555C1H150JA01D</x:v>
      </x:c>
      <x:c r="E64" s="22" t="str">
        <x:v>C76950</x:v>
      </x:c>
      <x:c r="F64" s="23" t="n">
        <x:v>2</x:v>
      </x:c>
      <x:c r="G64" s="13" t="n">
        <x:v>100</x:v>
      </x:c>
      <x:c r="H64" s="13" t="n">
        <x:v>100</x:v>
      </x:c>
      <x:c r="I64" s="14" t="n">
        <x:f>IF(OR(D64="",G64="",H64=""),"",IF(COUNTIF($D$11:D64,D64)&gt;1,0,ROUNDUP(MAX(SUMIF($D$11:$D$111,D64,$F$11:$F$111),G64)/H64,0)*H64))</x:f>
        <x:v>100</x:v>
      </x:c>
      <x:c r="J64" s="6" t="n">
        <x:v>100</x:v>
      </x:c>
      <x:c r="K64" s="28" t="n">
        <x:v>0.0054</x:v>
      </x:c>
      <x:c r="L64" s="30" t="n">
        <x:f>IF(K64="","",ROUND(F64*K64,4))</x:f>
        <x:v>0.0108</x:v>
      </x:c>
      <x:c r="M64" s="30" t="n">
        <x:f>IF(OR(K64="",I64="",N64=""),"",IF(N64&gt;=I64,ROUND(I64*K64,4),""))</x:f>
        <x:v>0.54</x:v>
      </x:c>
      <x:c r="N64" s="7" t="n">
        <x:v>55300</x:v>
      </x:c>
      <x:c r="O64" s="1" t="str">
        <x:v>In stock; value change 2026-10-10 (sync-y200-c275; was 22pF GRM1555C1H220JA01D C76960); verified against LCSC listing C76950 (muRata GRM1555C1H150JA01D, 0402; 15pF, ±5%, 50V, C0G); JLC extended; LCSC stock 55300, JLC list stock 60138 at lookup vs order qty 100; price is the listed ladder at order qty; re-check at order.</x:v>
      </x:c>
      <x:c r="P64" s="4" t="n">
        <x:v>46305</x:v>
      </x:c>
      <x:c r="Q64" s="1" t="str">
        <x:v>2026-10-10</x:v>
      </x:c>
      <x:c r="R64" s="1" t="str">
        <x:v>Passive repackage 2026-10-06 (hand-solder policy): was C_0603 using CL10C220JB8NNNC. See reports/passive-repackage-2026-10-06.md. VALUE CHANGE 2026-10-10 (reports/sync-y200-c275.md): 22 pF GRM1555C1H220JA01D C76960 -&gt; 15 pF GRM1555C1H150JA01D C76950 to match the 12 pF Y200 replacement (X322524576MOB4SI): CL = 7.5 pF + 3-5 pF stray = 10.5-12.5 pF. Same Murata C0G 50 V +/-5% 0402 series, same footprint. Trim at bring-up if the measured frequency error exceeds about 20 ppm.</x:v>
      </x:c>
      <x:c r="S64" s="1" t="str">
        <x:v>https://www.lcsc.com/product-detail/C76950.html</x:v>
      </x:c>
    </x:row>
    <x:row r="65" ht="36" customHeight="1">
      <x:c r="A65" s="22" t="str">
        <x:v>C200, C201, C202, C203, C204, C205, C241, C243, C244</x:v>
      </x:c>
      <x:c r="B65" s="22" t="str">
        <x:v>2.2uF 0402 hand-solder (C_0402_1005Metric)</x:v>
      </x:c>
      <x:c r="C65" s="22" t="str">
        <x:v>Samsung Electro-Mechanics</x:v>
      </x:c>
      <x:c r="D65" s="22" t="str">
        <x:v>CL05A225KP5NNNC</x:v>
      </x:c>
      <x:c r="E65" s="22" t="str">
        <x:v>C7464343</x:v>
      </x:c>
      <x:c r="F65" s="23" t="n">
        <x:v>9</x:v>
      </x:c>
      <x:c r="G65" s="13" t="n">
        <x:v>50</x:v>
      </x:c>
      <x:c r="H65" s="13" t="n">
        <x:v>50</x:v>
      </x:c>
      <x:c r="I65" s="14" t="n">
        <x:f>IF(OR(D65="",G65="",H65=""),"",IF(COUNTIF($D$11:D65,D65)&gt;1,0,ROUNDUP(MAX(SUMIF($D$11:$D$111,D65,$F$11:$F$111),G65)/H65,0)*H65))</x:f>
        <x:v>50</x:v>
      </x:c>
      <x:c r="J65" s="6" t="n">
        <x:v>50</x:v>
      </x:c>
      <x:c r="K65" s="28" t="n">
        <x:v>0.0146</x:v>
      </x:c>
      <x:c r="L65" s="30" t="n">
        <x:f>IF(K65="","",ROUND(F65*K65,4))</x:f>
        <x:v>0.1314</x:v>
      </x:c>
      <x:c r="M65" s="30" t="n">
        <x:f>IF(OR(K65="",I65="",N65=""),"",IF(N65&gt;=I65,ROUND(I65*K65,4),""))</x:f>
        <x:v>0.73</x:v>
      </x:c>
      <x:c r="N65" s="7" t="n">
        <x:v>2000</x:v>
      </x:c>
      <x:c r="O65" s="1" t="str">
        <x:v>In stock; part/package/value verified 2026-10-10 against LCSC listing C7464343 (Samsung Electro-Mechanics CL05A225KP5NNNC, 0402); JLC extended; LCSC stock 2000, JLC list stock 2000 at lookup vs order qty 50; price is the listed ladder at order qty; re-check at order.</x:v>
      </x:c>
      <x:c r="P65" s="4" t="n">
        <x:v>46305</x:v>
      </x:c>
      <x:c r="Q65" s="1" t="str">
        <x:v>2026-10-10</x:v>
      </x:c>
      <x:c r="R65" s="1" t="str">
        <x:v>Passive repackage 2026-10-06 (hand-solder policy): was C_0805 using CL21B225KAFNNNE. See reports/passive-repackage-2026-10-06.md. MPN not stock-checked unless an LCSC code with price is shown. C241 (U10 TPA6132A2 VDD, net 3V3_AUDIO) changed to 2.2 uF CL05A225KP5NNNC 2026-10-10 per project review M1 (BOM only; ref corrected 2026-10-10 from C242, which does not exist in the schematic). Ref correction 2026-10-10: C242 does not exist; the U10 VDD cap is C241 (moved from the 1uF CL05A105KO5NNNC row, now 32 pcs). 2.2uF X5R 10V on 3.3V: capacitance loss with bias is acceptable for VDD decoupling.</x:v>
      </x:c>
      <x:c r="S65" s="1" t="str">
        <x:v>https://www.lcsc.com/product-detail/C7464343.html</x:v>
      </x:c>
    </x:row>
    <x:row r="66" ht="36" customHeight="1">
      <x:c r="A66" s="22" t="str">
        <x:v>C120, C126, C130, C131, C132, C160, C162, C191, C213, C215, C217, C219, C237, C238, C246, C260, C267, C276, C278, C281, C289, C291, C294</x:v>
      </x:c>
      <x:c r="B66" s="22" t="str">
        <x:v>100nF X7R 0402 hand-solder (C_0402_1005Metric)</x:v>
      </x:c>
      <x:c r="C66" s="22" t="str">
        <x:v>Murata</x:v>
      </x:c>
      <x:c r="D66" s="22" t="str">
        <x:v>GRM155R71H104KE14D</x:v>
      </x:c>
      <x:c r="E66" s="22" t="str">
        <x:v>C77020</x:v>
      </x:c>
      <x:c r="F66" s="23" t="n">
        <x:v>23</x:v>
      </x:c>
      <x:c r="G66" s="13" t="n">
        <x:v>100</x:v>
      </x:c>
      <x:c r="H66" s="13" t="n">
        <x:v>100</x:v>
      </x:c>
      <x:c r="I66" s="14" t="n">
        <x:f>IF(OR(D66="",G66="",H66=""),"",IF(COUNTIF($D$11:D66,D66)&gt;1,0,ROUNDUP(MAX(SUMIF($D$11:$D$111,D66,$F$11:$F$111),G66)/H66,0)*H66))</x:f>
        <x:v>100</x:v>
      </x:c>
      <x:c r="J66" s="6" t="n">
        <x:v>100</x:v>
      </x:c>
      <x:c r="K66" s="28" t="n">
        <x:v>0.007</x:v>
      </x:c>
      <x:c r="L66" s="30" t="n">
        <x:f>IF(K66="","",ROUND(F66*K66,4))</x:f>
        <x:v>0.161</x:v>
      </x:c>
      <x:c r="M66" s="30" t="n">
        <x:f>IF(OR(K66="",I66="",N66=""),"",IF(N66&gt;=I66,ROUND(I66*K66,4),""))</x:f>
        <x:v>0.7</x:v>
      </x:c>
      <x:c r="N66" s="7" t="n">
        <x:v>10000</x:v>
      </x:c>
      <x:c r="O66" s="1" t="str">
        <x:v>In stock; part/package/value verified 2026-10-10 against LCSC listing C77020 (muRata GRM155R71H104KE14D, 0402); JLC extended; LCSC stock 10000, JLC list stock 1611701 at lookup vs order qty 100; price is the listed ladder at order qty; re-check at order.</x:v>
      </x:c>
      <x:c r="P66" s="4" t="n">
        <x:v>46305</x:v>
      </x:c>
      <x:c r="Q66" s="1" t="str">
        <x:v>2026-10-10</x:v>
      </x:c>
      <x:c r="R66" s="1" t="str">
        <x:v>Passive repackage 2026-10-06 (hand-solder policy): was C_0603/C_0402 using CL10B104KB8NNNC, GRM155R71H104KE14D. See reports/passive-repackage-2026-10-06.md. Footprint DesktopSpeaker:PD_C_0402 (no 3D model) Low-risk BOM cut 2026-10-06: removed C113, C114, C115, C121, C143, C151, C163, C242 (reports/bom-reduction-audit.md).</x:v>
      </x:c>
      <x:c r="S66" s="1" t="str">
        <x:v>https://www.lcsc.com/product-detail/C77020.html</x:v>
      </x:c>
    </x:row>
    <x:row r="67" ht="36" customHeight="1">
      <x:c r="A67" s="22" t="str">
        <x:v>C6, C104, C105, C106, C107, C140, C141, C142, C150, C152, C153, C154, C261, C262, C263, C264</x:v>
      </x:c>
      <x:c r="B67" s="22" t="str">
        <x:v>22uF X7R 10V 0805 hand-solder (C_0805_2012Metric)</x:v>
      </x:c>
      <x:c r="C67" s="22" t="str">
        <x:v>Murata</x:v>
      </x:c>
      <x:c r="D67" s="22" t="str">
        <x:v>GRM21BZ71A226ME15L</x:v>
      </x:c>
      <x:c r="E67" s="22" t="str">
        <x:v>C907991</x:v>
      </x:c>
      <x:c r="F67" s="23" t="n">
        <x:v>16</x:v>
      </x:c>
      <x:c r="G67" s="13" t="n">
        <x:v>5</x:v>
      </x:c>
      <x:c r="H67" s="13" t="n">
        <x:v>5</x:v>
      </x:c>
      <x:c r="I67" s="14" t="n">
        <x:f>IF(OR(D67="",G67="",H67=""),"",IF(COUNTIF($D$11:D67,D67)&gt;1,0,ROUNDUP(MAX(SUMIF($D$11:$D$111,D67,$F$11:$F$111),G67)/H67,0)*H67))</x:f>
        <x:v>20</x:v>
      </x:c>
      <x:c r="J67" s="6" t="n">
        <x:v>5</x:v>
      </x:c>
      <x:c r="K67" s="28" t="n">
        <x:v>0.2551</x:v>
      </x:c>
      <x:c r="L67" s="30" t="n">
        <x:f>IF(K67="","",ROUND(F67*K67,4))</x:f>
        <x:v>4.0816</x:v>
      </x:c>
      <x:c r="M67" s="30" t="n">
        <x:f>IF(OR(K67="",I67="",N67=""),"",IF(N67&gt;=I67,ROUND(I67*K67,4),""))</x:f>
        <x:v>5.102</x:v>
      </x:c>
      <x:c r="N67" s="7" t="n">
        <x:v>8140</x:v>
      </x:c>
      <x:c r="O67" s="1" t="str">
        <x:v>In stock; part/package/value verified 2026-10-10 against LCSC listing C907991 (muRata GRM21BZ71A226ME15L, 0805); JLC extended; LCSC stock 8140, JLC list stock 34923 at lookup vs order qty 20; price is the listed ladder at order qty; re-check at order.</x:v>
      </x:c>
      <x:c r="P67" s="4" t="n">
        <x:v>46305</x:v>
      </x:c>
      <x:c r="Q67" s="1" t="str">
        <x:v>2026-10-10</x:v>
      </x:c>
      <x:c r="R67" s="1" t="str">
        <x:v>Passive repackage 2026-10-06 (hand-solder policy): was C_0805 using GRM21BZ71A226ME15L. See reports/passive-repackage-2026-10-06.md. Amplifiers sheet, 2026-10-06. Added C261, C262, C263, C264.</x:v>
      </x:c>
      <x:c r="S67" s="1" t="str">
        <x:v>https://www.lcsc.com/product-detail/C907991.html</x:v>
      </x:c>
    </x:row>
    <x:row r="68" ht="36" customHeight="1">
      <x:c r="A68" s="22" t="str">
        <x:v>C265</x:v>
      </x:c>
      <x:c r="B68" s="22" t="str">
        <x:v>2.2uF 0805 hand-solder (C_0805_2012Metric)</x:v>
      </x:c>
      <x:c r="C68" s="22" t="str">
        <x:v>Samsung Electro-Mechanics</x:v>
      </x:c>
      <x:c r="D68" s="22" t="str">
        <x:v>CL21B225KAFNNNE</x:v>
      </x:c>
      <x:c r="E68" s="22" t="str">
        <x:v>C19110</x:v>
      </x:c>
      <x:c r="F68" s="23" t="n">
        <x:v>1</x:v>
      </x:c>
      <x:c r="G68" s="13" t="n">
        <x:v>10</x:v>
      </x:c>
      <x:c r="H68" s="13" t="n">
        <x:v>10</x:v>
      </x:c>
      <x:c r="I68" s="14" t="n">
        <x:f>IF(OR(D68="",G68="",H68=""),"",IF(COUNTIF($D$11:D68,D68)&gt;1,0,ROUNDUP(MAX(SUMIF($D$11:$D$111,D68,$F$11:$F$111),G68)/H68,0)*H68))</x:f>
        <x:v>10</x:v>
      </x:c>
      <x:c r="J68" s="6" t="n">
        <x:v>10</x:v>
      </x:c>
      <x:c r="K68" s="28" t="n">
        <x:v>0.0331</x:v>
      </x:c>
      <x:c r="L68" s="30" t="n">
        <x:f>IF(K68="","",ROUND(F68*K68,4))</x:f>
        <x:v>0.0331</x:v>
      </x:c>
      <x:c r="M68" s="30" t="n">
        <x:f>IF(OR(K68="",I68="",N68=""),"",IF(N68&gt;=I68,ROUND(I68*K68,4),""))</x:f>
        <x:v>0.331</x:v>
      </x:c>
      <x:c r="N68" s="7" t="n">
        <x:v>26390</x:v>
      </x:c>
      <x:c r="O68" s="1" t="str">
        <x:v>In stock; part/package/value verified 2026-10-10 against LCSC listing C19110 (Samsung Electro-Mechanics CL21B225KAFNNNE, 0805); JLC extended; LCSC stock 26390, JLC list stock 98644 at lookup vs order qty 10; price is the listed ladder at order qty; re-check at order.</x:v>
      </x:c>
      <x:c r="P68" s="4" t="n">
        <x:v>46305</x:v>
      </x:c>
      <x:c r="Q68" s="1" t="str">
        <x:v>2026-10-10</x:v>
      </x:c>
      <x:c r="R68" s="1" t="str">
        <x:v>Passive repackage 2026-10-06 (hand-solder policy): was C_0805 using CL21B225KAFNNNE. See reports/passive-repackage-2026-10-06.md. Source_Select_ADC sheet, 2026-10-06. Unverified: LCSC code/price/stock not checked at this BOM freeze. Check voltage rating and DC-bias. Headphone_Aux sheet, 2026-10-06. Added C243, C244. Amplifiers sheet, 2026-10-06. Added C265.</x:v>
      </x:c>
      <x:c r="S68" s="1" t="str">
        <x:v>https://www.lcsc.com/product-detail/C19110.html</x:v>
      </x:c>
    </x:row>
    <x:row r="69" ht="36" customHeight="1">
      <x:c r="A69" s="22" t="str">
        <x:v>C103, C110, C266</x:v>
      </x:c>
      <x:c r="B69" s="22" t="str">
        <x:v>47nF X7R 50V 0402 hand-solder (C_0402_1005Metric)</x:v>
      </x:c>
      <x:c r="C69" s="22" t="str">
        <x:v>muRata</x:v>
      </x:c>
      <x:c r="D69" s="22" t="str">
        <x:v>GRM155R71H473KE14D</x:v>
      </x:c>
      <x:c r="E69" s="22" t="str">
        <x:v>C117757</x:v>
      </x:c>
      <x:c r="F69" s="23" t="n">
        <x:v>3</x:v>
      </x:c>
      <x:c r="G69" s="13" t="n">
        <x:v>50</x:v>
      </x:c>
      <x:c r="H69" s="13" t="n">
        <x:v>50</x:v>
      </x:c>
      <x:c r="I69" s="14" t="n">
        <x:f>IF(OR(D69="",G69="",H69=""),"",IF(COUNTIF($D$11:D69,D69)&gt;1,0,ROUNDUP(MAX(SUMIF($D$11:$D$111,D69,$F$11:$F$111),G69)/H69,0)*H69))</x:f>
        <x:v>50</x:v>
      </x:c>
      <x:c r="J69" s="6" t="n">
        <x:v>50</x:v>
      </x:c>
      <x:c r="K69" s="28" t="n">
        <x:v>0.012</x:v>
      </x:c>
      <x:c r="L69" s="30" t="n">
        <x:f>IF(K69="","",ROUND(F69*K69,4))</x:f>
        <x:v>0.036</x:v>
      </x:c>
      <x:c r="M69" s="30" t="n">
        <x:f>IF(OR(K69="",I69="",N69=""),"",IF(N69&gt;=I69,ROUND(I69*K69,4),""))</x:f>
        <x:v>0.6</x:v>
      </x:c>
      <x:c r="N69" s="7" t="n">
        <x:v>28550</x:v>
      </x:c>
      <x:c r="O69" s="1" t="str">
        <x:v>In stock; coordinator-approved substitution 2026-10-10 (was GRM155R71H473KA12D unresolved); verified against LCSC listing C117757 (muRata GRM155R71H473KE14D, 0402; 47nF, X7R, ±10%, 50V); LCSC stock 28550 at lookup vs order qty 50; price is the listed ladder at order qty; re-check at order.</x:v>
      </x:c>
      <x:c r="P69" s="4" t="n">
        <x:v>46305</x:v>
      </x:c>
      <x:c r="Q69" s="1" t="str">
        <x:v>2026-10-10</x:v>
      </x:c>
      <x:c r="R69" s="1" t="str">
        <x:v>Passive repackage 2026-10-06 (hand-solder policy): was C_0603 using CC0603KRX7R9BB473. See reports/passive-repackage-2026-10-06.md. SUBSTITUTION 2026-10-10 (coordinator-approved): GRM155R71H473KA12D unresolved -&gt; GRM155R71H473KE14D C117757. Original GRM155R71H473KA12D not listed; same 47 nF X7R 50 V +/-10% 0402, same maker, newer suffix.</x:v>
      </x:c>
      <x:c r="S69" s="1" t="str">
        <x:v>https://www.lcsc.com/product-detail/C117757.html</x:v>
      </x:c>
    </x:row>
    <x:row r="70" ht="36" customHeight="1">
      <x:c r="A70" s="22" t="str">
        <x:v>C268</x:v>
      </x:c>
      <x:c r="B70" s="22" t="str">
        <x:v>6.8nF 0402 hand-solder (C_0402_1005Metric)</x:v>
      </x:c>
      <x:c r="C70" s="22" t="str">
        <x:v>Samsung Electro-Mechanics</x:v>
      </x:c>
      <x:c r="D70" s="22" t="str">
        <x:v>CL05B682KB5NNNC</x:v>
      </x:c>
      <x:c r="E70" s="22" t="str">
        <x:v>C318580</x:v>
      </x:c>
      <x:c r="F70" s="23" t="n">
        <x:v>1</x:v>
      </x:c>
      <x:c r="G70" s="13" t="n">
        <x:v>100</x:v>
      </x:c>
      <x:c r="H70" s="13" t="n">
        <x:v>100</x:v>
      </x:c>
      <x:c r="I70" s="14" t="n">
        <x:f>IF(OR(D70="",G70="",H70=""),"",IF(COUNTIF($D$11:D70,D70)&gt;1,0,ROUNDUP(MAX(SUMIF($D$11:$D$111,D70,$F$11:$F$111),G70)/H70,0)*H70))</x:f>
        <x:v>100</x:v>
      </x:c>
      <x:c r="J70" s="6" t="n">
        <x:v>100</x:v>
      </x:c>
      <x:c r="K70" s="28" t="n">
        <x:v>0.0095</x:v>
      </x:c>
      <x:c r="L70" s="30" t="n">
        <x:f>IF(K70="","",ROUND(F70*K70,4))</x:f>
        <x:v>0.0095</x:v>
      </x:c>
      <x:c r="M70" s="30" t="n">
        <x:f>IF(OR(K70="",I70="",N70=""),"",IF(N70&gt;=I70,ROUND(I70*K70,4),""))</x:f>
        <x:v>0.95</x:v>
      </x:c>
      <x:c r="N70" s="7" t="n">
        <x:v>18600</x:v>
      </x:c>
      <x:c r="O70" s="1" t="str">
        <x:v>In stock; coordinator-approved substitution 2026-10-10 (was GRM155R71H682KA01D unresolved); verified against LCSC listing C318580 (Samsung Electro-Mechanics CL05B682KB5NNNC, 0402; 6.8nF, X7R, ±10%, 50V); LCSC stock 18600 at lookup vs order qty 100; price is the listed ladder at order qty; re-check at order.</x:v>
      </x:c>
      <x:c r="P70" s="4" t="n">
        <x:v>46305</x:v>
      </x:c>
      <x:c r="Q70" s="1" t="str">
        <x:v>2026-10-10</x:v>
      </x:c>
      <x:c r="R70" s="1" t="str">
        <x:v>Passive repackage 2026-10-06 (hand-solder policy): was C_0603 using CL10B682KB8NNNC. See reports/passive-repackage-2026-10-06.md. SUBSTITUTION 2026-10-10 (coordinator-approved): GRM155R71H682KA01D unresolved -&gt; CL05B682KB5NNNC C318580. Original GRM155R71H682KA01D not listed; same 6.8 nF X7R 50 V +/-10% 0402 (Samsung).</x:v>
      </x:c>
      <x:c r="S70" s="1" t="str">
        <x:v>https://www.lcsc.com/product-detail/C318580.html</x:v>
      </x:c>
    </x:row>
    <x:row r="71" ht="36" customHeight="1">
      <x:c r="A71" s="22" t="str">
        <x:v>C269</x:v>
      </x:c>
      <x:c r="B71" s="22" t="str">
        <x:v>47pF 0402 hand-solder (C_0402_1005Metric)</x:v>
      </x:c>
      <x:c r="C71" s="22" t="str">
        <x:v>Murata</x:v>
      </x:c>
      <x:c r="D71" s="22" t="str">
        <x:v>GRM1555C1H470JA01D</x:v>
      </x:c>
      <x:c r="E71" s="22" t="str">
        <x:v>C76970</x:v>
      </x:c>
      <x:c r="F71" s="23" t="n">
        <x:v>1</x:v>
      </x:c>
      <x:c r="G71" s="13" t="n">
        <x:v>100</x:v>
      </x:c>
      <x:c r="H71" s="13" t="n">
        <x:v>100</x:v>
      </x:c>
      <x:c r="I71" s="14" t="n">
        <x:f>IF(OR(D71="",G71="",H71=""),"",IF(COUNTIF($D$11:D71,D71)&gt;1,0,ROUNDUP(MAX(SUMIF($D$11:$D$111,D71,$F$11:$F$111),G71)/H71,0)*H71))</x:f>
        <x:v>100</x:v>
      </x:c>
      <x:c r="J71" s="6" t="n">
        <x:v>100</x:v>
      </x:c>
      <x:c r="K71" s="28" t="n">
        <x:v>0.0068</x:v>
      </x:c>
      <x:c r="L71" s="30" t="n">
        <x:f>IF(K71="","",ROUND(F71*K71,4))</x:f>
        <x:v>0.0068</x:v>
      </x:c>
      <x:c r="M71" s="30" t="n">
        <x:f>IF(OR(K71="",I71="",N71=""),"",IF(N71&gt;=I71,ROUND(I71*K71,4),""))</x:f>
        <x:v>0.68</x:v>
      </x:c>
      <x:c r="N71" s="7" t="n">
        <x:v>179500</x:v>
      </x:c>
      <x:c r="O71" s="1" t="str">
        <x:v>In stock; part/package/value verified 2026-10-10 against LCSC listing C76970 (muRata GRM1555C1H470JA01D, 0402); JLC extended; LCSC stock 179500, JLC list stock 200349 at lookup vs order qty 100; price is the listed ladder at order qty; re-check at order.</x:v>
      </x:c>
      <x:c r="P71" s="4" t="n">
        <x:v>46305</x:v>
      </x:c>
      <x:c r="Q71" s="1" t="str">
        <x:v>2026-10-10</x:v>
      </x:c>
      <x:c r="R71" s="1" t="str">
        <x:v>Passive repackage 2026-10-06 (hand-solder policy): was C_0603 using CL10C470JB8NNNC. See reports/passive-repackage-2026-10-06.md. MPN not stock-checked unless an LCSC code with price is shown.</x:v>
      </x:c>
      <x:c r="S71" s="1" t="str">
        <x:v>https://www.lcsc.com/product-detail/C76970.html</x:v>
      </x:c>
    </x:row>
    <x:row r="72" ht="36" customHeight="1">
      <x:c r="A72" s="22" t="str">
        <x:v>C184, C270</x:v>
      </x:c>
      <x:c r="B72" s="22" t="str">
        <x:v>1uF X7R 50V 0805 hand-solder (C_0805_2012Metric)</x:v>
      </x:c>
      <x:c r="C72" s="22" t="str">
        <x:v>Samsung Electro-Mechanics</x:v>
      </x:c>
      <x:c r="D72" s="22" t="str">
        <x:v>CL21B105KBFNNNE</x:v>
      </x:c>
      <x:c r="E72" s="22" t="str">
        <x:v>C28323</x:v>
      </x:c>
      <x:c r="F72" s="23" t="n">
        <x:v>2</x:v>
      </x:c>
      <x:c r="G72" s="13" t="n">
        <x:v>10</x:v>
      </x:c>
      <x:c r="H72" s="13" t="n">
        <x:v>10</x:v>
      </x:c>
      <x:c r="I72" s="14" t="n">
        <x:f>IF(OR(D72="",G72="",H72=""),"",IF(COUNTIF($D$11:D72,D72)&gt;1,0,ROUNDUP(MAX(SUMIF($D$11:$D$111,D72,$F$11:$F$111),G72)/H72,0)*H72))</x:f>
        <x:v>10</x:v>
      </x:c>
      <x:c r="J72" s="6" t="n">
        <x:v>10</x:v>
      </x:c>
      <x:c r="K72" s="28" t="n">
        <x:v>0.0403</x:v>
      </x:c>
      <x:c r="L72" s="30" t="n">
        <x:f>IF(K72="","",ROUND(F72*K72,4))</x:f>
        <x:v>0.0806</x:v>
      </x:c>
      <x:c r="M72" s="30" t="n">
        <x:f>IF(OR(K72="",I72="",N72=""),"",IF(N72&gt;=I72,ROUND(I72*K72,4),""))</x:f>
        <x:v>0.403</x:v>
      </x:c>
      <x:c r="N72" s="7" t="n">
        <x:v>10</x:v>
      </x:c>
      <x:c r="O72" s="1" t="str">
        <x:v>In stock; part/package/value verified 2026-10-10 against LCSC listing C28323 (Samsung Electro-Mechanics CL21B105KBFNNNE, 0805); JLC basic; LCSC stock 10, JLC list stock 1892310 at lookup vs order qty 10; price is the listed ladder at order qty; re-check at order.</x:v>
      </x:c>
      <x:c r="P72" s="4" t="n">
        <x:v>46305</x:v>
      </x:c>
      <x:c r="Q72" s="1" t="str">
        <x:v>2026-10-10</x:v>
      </x:c>
      <x:c r="R72" s="1" t="str">
        <x:v>Passive repackage 2026-10-06 (hand-solder policy): was C_0805 using CL21B105KBFNNNE. See reports/passive-repackage-2026-10-06.md. CL21B105KBFNNNE; effective capacitance at bias not proven. Headphone_Aux sheet, 2026-10-06. Added C230, C231, C232, C233, C234, C235, C239, C240, C241, C245. Amplifiers sheet, 2026-10-06. Added C270, C282, C283, C284, C295, C296, C297.</x:v>
      </x:c>
      <x:c r="S72" s="1" t="str">
        <x:v>https://www.lcsc.com/product-detail/C28323.html</x:v>
      </x:c>
    </x:row>
    <x:row r="73" ht="36" customHeight="1">
      <x:c r="A73" s="22" t="str">
        <x:v>C271, C272, C273, C274, C277, C279, C290, C292</x:v>
      </x:c>
      <x:c r="B73" s="22" t="str">
        <x:v>22uF 25V 0805 hand-solder (C_0805_2012Metric)</x:v>
      </x:c>
      <x:c r="C73" s="22" t="str">
        <x:v>Samsung Electro-Mechanics</x:v>
      </x:c>
      <x:c r="D73" s="22" t="str">
        <x:v>CL21A226MAQNNNE</x:v>
      </x:c>
      <x:c r="E73" s="22" t="str">
        <x:v>C45783</x:v>
      </x:c>
      <x:c r="F73" s="23" t="n">
        <x:v>8</x:v>
      </x:c>
      <x:c r="G73" s="13" t="n">
        <x:v>20</x:v>
      </x:c>
      <x:c r="H73" s="13" t="n">
        <x:v>20</x:v>
      </x:c>
      <x:c r="I73" s="14" t="n">
        <x:f>IF(OR(D73="",G73="",H73=""),"",IF(COUNTIF($D$11:D73,D73)&gt;1,0,ROUNDUP(MAX(SUMIF($D$11:$D$111,D73,$F$11:$F$111),G73)/H73,0)*H73))</x:f>
        <x:v>20</x:v>
      </x:c>
      <x:c r="J73" s="6" t="n">
        <x:v>20</x:v>
      </x:c>
      <x:c r="K73" s="28" t="n">
        <x:v>0.2227</x:v>
      </x:c>
      <x:c r="L73" s="30" t="n">
        <x:f>IF(K73="","",ROUND(F73*K73,4))</x:f>
        <x:v>1.7816</x:v>
      </x:c>
      <x:c r="M73" s="30" t="n">
        <x:f>IF(OR(K73="",I73="",N73=""),"",IF(N73&gt;=I73,ROUND(I73*K73,4),""))</x:f>
        <x:v>4.454</x:v>
      </x:c>
      <x:c r="N73" s="7" t="n">
        <x:v>193320</x:v>
      </x:c>
      <x:c r="O73" s="1" t="str">
        <x:v>In stock; part/package/value verified 2026-10-10 against LCSC listing C45783 (Samsung Electro-Mechanics CL21A226MAQNNNE, 0805); JLC basic; LCSC stock 193320, JLC list stock 3709036 at lookup vs order qty 20; price is the listed ladder at order qty; re-check at order.</x:v>
      </x:c>
      <x:c r="P73" s="4" t="n">
        <x:v>46305</x:v>
      </x:c>
      <x:c r="Q73" s="1" t="str">
        <x:v>2026-10-10</x:v>
      </x:c>
      <x:c r="R73" s="1" t="str">
        <x:v>Passive repackage 2026-10-06 (hand-solder policy): was C_1210 using CL32B226KAJNNNE. See reports/passive-repackage-2026-10-06.md. MPN not stock-checked unless an LCSC code with price is shown.</x:v>
      </x:c>
      <x:c r="S73" s="1" t="str">
        <x:v>https://www.lcsc.com/product-detail/C45783.html</x:v>
      </x:c>
    </x:row>
    <x:row r="74" ht="36" customHeight="1">
      <x:c r="A74" s="22" t="str">
        <x:v>C161, C186, C187, C194, C195, C236, C280, C293</x:v>
      </x:c>
      <x:c r="B74" s="22" t="str">
        <x:v>4.7uF 0805 hand-solder (C_0805_2012Metric)</x:v>
      </x:c>
      <x:c r="C74" s="22" t="str">
        <x:v>Samsung Electro-Mechanics</x:v>
      </x:c>
      <x:c r="D74" s="22" t="str">
        <x:v>CL21A475KAQNNNE</x:v>
      </x:c>
      <x:c r="E74" s="22" t="str">
        <x:v>C1779</x:v>
      </x:c>
      <x:c r="F74" s="23" t="n">
        <x:v>8</x:v>
      </x:c>
      <x:c r="G74" s="13" t="n">
        <x:v>20</x:v>
      </x:c>
      <x:c r="H74" s="13" t="n">
        <x:v>20</x:v>
      </x:c>
      <x:c r="I74" s="14" t="n">
        <x:f>IF(OR(D74="",G74="",H74=""),"",IF(COUNTIF($D$11:D74,D74)&gt;1,0,ROUNDUP(MAX(SUMIF($D$11:$D$111,D74,$F$11:$F$111),G74)/H74,0)*H74))</x:f>
        <x:v>20</x:v>
      </x:c>
      <x:c r="J74" s="6" t="n">
        <x:v>20</x:v>
      </x:c>
      <x:c r="K74" s="28" t="n">
        <x:v>0.0348</x:v>
      </x:c>
      <x:c r="L74" s="30" t="n">
        <x:f>IF(K74="","",ROUND(F74*K74,4))</x:f>
        <x:v>0.2784</x:v>
      </x:c>
      <x:c r="M74" s="30" t="n">
        <x:f>IF(OR(K74="",I74="",N74=""),"",IF(N74&gt;=I74,ROUND(I74*K74,4),""))</x:f>
        <x:v>0.696</x:v>
      </x:c>
      <x:c r="N74" s="7" t="n">
        <x:v>1065980</x:v>
      </x:c>
      <x:c r="O74" s="1" t="str">
        <x:v>In stock; part/package/value verified 2026-10-10 against LCSC listing C1779 (Samsung Electro-Mechanics CL21A475KAQNNNE, 0805); JLC basic; LCSC stock 1065980, JLC list stock 2654798 at lookup vs order qty 20; price is the listed ladder at order qty; re-check at order.</x:v>
      </x:c>
      <x:c r="P74" s="4" t="n">
        <x:v>46305</x:v>
      </x:c>
      <x:c r="Q74" s="1" t="str">
        <x:v>2026-10-10</x:v>
      </x:c>
      <x:c r="R74" s="1" t="str">
        <x:v>Passive repackage 2026-10-06 (hand-solder policy): was C_0603/C_1206 using CL10A475KO8NNNC, CL31B475KBHNNNE. See reports/passive-repackage-2026-10-06.md. MPN not stock-checked unless an LCSC code with price is shown.</x:v>
      </x:c>
      <x:c r="S74" s="1" t="str">
        <x:v>https://www.lcsc.com/product-detail/C1779.html</x:v>
      </x:c>
    </x:row>
    <x:row r="75" ht="36" customHeight="1">
      <x:c r="A75" s="22" t="str">
        <x:v>C122, C123, C124, C125, C170, C171, C172, C173, C174, C192, C193, C212, C220, C221, C222, C224, C225, C230, C231, C232, C233, C234, C235, C239, C240, C245, C282, C283, C284, C295, C296, C297</x:v>
      </x:c>
      <x:c r="B75" s="22" t="str">
        <x:v>1uF X5R 16V 0402 hand-solder (C_0402_1005Metric)</x:v>
      </x:c>
      <x:c r="C75" s="22" t="str">
        <x:v>Samsung Electro-Mechanics</x:v>
      </x:c>
      <x:c r="D75" s="22" t="str">
        <x:v>CL05A105KO5NNNC</x:v>
      </x:c>
      <x:c r="E75" s="22" t="str">
        <x:v>C29266</x:v>
      </x:c>
      <x:c r="F75" s="23" t="n">
        <x:v>32</x:v>
      </x:c>
      <x:c r="G75" s="13" t="n">
        <x:v>50</x:v>
      </x:c>
      <x:c r="H75" s="13" t="n">
        <x:v>50</x:v>
      </x:c>
      <x:c r="I75" s="14" t="n">
        <x:f>IF(OR(D75="",G75="",H75=""),"",IF(COUNTIF($D$11:D75,D75)&gt;1,0,ROUNDUP(MAX(SUMIF($D$11:$D$111,D75,$F$11:$F$111),G75)/H75,0)*H75))</x:f>
        <x:v>50</x:v>
      </x:c>
      <x:c r="J75" s="6" t="n">
        <x:v>50</x:v>
      </x:c>
      <x:c r="K75" s="28" t="n">
        <x:v>0.0076</x:v>
      </x:c>
      <x:c r="L75" s="30" t="n">
        <x:f>IF(K75="","",ROUND(F75*K75,4))</x:f>
        <x:v>0.2432</x:v>
      </x:c>
      <x:c r="M75" s="30" t="n">
        <x:f>IF(OR(K75="",I75="",N75=""),"",IF(N75&gt;=I75,ROUND(I75*K75,4),""))</x:f>
        <x:v>0.38</x:v>
      </x:c>
      <x:c r="N75" s="7" t="n">
        <x:v>186000</x:v>
      </x:c>
      <x:c r="O75" s="1" t="str">
        <x:v>In stock; part/package/value verified 2026-10-10 against LCSC listing C29266 (Samsung Electro-Mechanics CL05A105KO5NNNC, 0402); JLC extended; LCSC stock 186000, JLC list stock 441835 at lookup vs order qty 50; price is the listed ladder at order qty; re-check at order.</x:v>
      </x:c>
      <x:c r="P75" s="4" t="n">
        <x:v>46305</x:v>
      </x:c>
      <x:c r="Q75" s="1" t="str">
        <x:v>2026-10-10</x:v>
      </x:c>
      <x:c r="R75" s="1" t="str">
        <x:v>Passive repackage 2026-10-06 (hand-solder policy): was C_0805/C_0603 using CL21B105KBFNNNE, LMK107B7105KA-T, CL10A105KB8NNNC. See reports/passive-repackage-2026-10-06.md. MPN not stock-checked unless an LCSC code with price is shown. Low-risk BOM cut 2026-10-06: removed C164 (reports/bom-reduction-audit.md). Value text corrected: listing is X5R 16V. C241 removed from this row 2026-10-10 (U10 VDD cap, now on the CL05A225KP5NNNC 2.2uF row); 32 pcs.</x:v>
      </x:c>
      <x:c r="S75" s="1" t="str">
        <x:v>https://www.lcsc.com/product-detail/C29266.html</x:v>
      </x:c>
    </x:row>
    <x:row r="76" ht="36" customHeight="1">
      <x:c r="A76" s="22" t="str">
        <x:v>C285, C286, C287, C288, C298, C299, C300, C301</x:v>
      </x:c>
      <x:c r="B76" s="22" t="str">
        <x:v>0.47uF 0402 hand-solder (C_0402_1005Metric)</x:v>
      </x:c>
      <x:c r="C76" s="22" t="str">
        <x:v>HRE</x:v>
      </x:c>
      <x:c r="D76" s="22" t="str">
        <x:v>CGA0402X7R474K160GT</x:v>
      </x:c>
      <x:c r="E76" s="22" t="str">
        <x:v>C22435970</x:v>
      </x:c>
      <x:c r="F76" s="23" t="n">
        <x:v>8</x:v>
      </x:c>
      <x:c r="G76" s="13" t="n">
        <x:v>50</x:v>
      </x:c>
      <x:c r="H76" s="13" t="n">
        <x:v>50</x:v>
      </x:c>
      <x:c r="I76" s="14" t="n">
        <x:f>IF(OR(D76="",G76="",H76=""),"",IF(COUNTIF($D$11:D76,D76)&gt;1,0,ROUNDUP(MAX(SUMIF($D$11:$D$111,D76,$F$11:$F$111),G76)/H76,0)*H76))</x:f>
        <x:v>50</x:v>
      </x:c>
      <x:c r="J76" s="6" t="n">
        <x:v>50</x:v>
      </x:c>
      <x:c r="K76" s="28" t="n">
        <x:v>0.0118</x:v>
      </x:c>
      <x:c r="L76" s="30" t="n">
        <x:f>IF(K76="","",ROUND(F76*K76,4))</x:f>
        <x:v>0.0944</x:v>
      </x:c>
      <x:c r="M76" s="30" t="n">
        <x:f>IF(OR(K76="",I76="",N76=""),"",IF(N76&gt;=I76,ROUND(I76*K76,4),""))</x:f>
        <x:v>0.59</x:v>
      </x:c>
      <x:c r="N76" s="7" t="n">
        <x:v>1900</x:v>
      </x:c>
      <x:c r="O76" s="1" t="str">
        <x:v>In stock; coordinator-approved substitution 2026-10-10 (was CL05B474KO5NNNC unresolved); verified against LCSC listing C22435970 (HRE CGA0402X7R474K160GT, 0402; 470nF, X7R, ±10%, 16V); LCSC stock 1900 at lookup vs order qty 50; price is the listed ladder at order qty; re-check at order.</x:v>
      </x:c>
      <x:c r="P76" s="4" t="n">
        <x:v>46305</x:v>
      </x:c>
      <x:c r="Q76" s="1" t="str">
        <x:v>2026-10-10</x:v>
      </x:c>
      <x:c r="R76" s="1" t="str">
        <x:v>Passive repackage 2026-10-06 (hand-solder policy): was C_0603 using CL10B474KA8NNNC. See reports/passive-repackage-2026-10-06.md. SUBSTITUTION 2026-10-10 (coordinator-approved): CL05B474KO5NNNC unresolved -&gt; CGA0402X7R474K160GT C22435970. Original CL05B474KO5NNNC (X7R 16 V) not listed; same 470 nF X7R 0402 +/-10%, 16 V kept (10 V CL05B474KP5NNNC C2895720 rejected: bootstrap caps BST-OUT see up to about 8 V gate-drive voltage and the original is 16 V).</x:v>
      </x:c>
      <x:c r="S76" s="1" t="str">
        <x:v>https://www.lcsc.com/product-detail/C22435970.html</x:v>
      </x:c>
    </x:row>
    <x:row r="77" ht="36" customHeight="1">
      <x:c r="A77" s="22" t="str">
        <x:v>C302, C303, C304, C305, C306, C307</x:v>
      </x:c>
      <x:c r="B77" s="22" t="str">
        <x:v>0.68uF 50V 0805 hand-solder (C_0805_2012Metric)</x:v>
      </x:c>
      <x:c r="C77" s="22" t="str">
        <x:v>Samsung Electro-Mechanics</x:v>
      </x:c>
      <x:c r="D77" s="22" t="str">
        <x:v>CL21B684KBFVPNE</x:v>
      </x:c>
      <x:c r="E77" s="22" t="str">
        <x:v>C472832</x:v>
      </x:c>
      <x:c r="F77" s="23" t="n">
        <x:v>6</x:v>
      </x:c>
      <x:c r="G77" s="13" t="n">
        <x:v>5</x:v>
      </x:c>
      <x:c r="H77" s="13" t="n">
        <x:v>5</x:v>
      </x:c>
      <x:c r="I77" s="14" t="n">
        <x:f>IF(OR(D77="",G77="",H77=""),"",IF(COUNTIF($D$11:D77,D77)&gt;1,0,ROUNDUP(MAX(SUMIF($D$11:$D$111,D77,$F$11:$F$111),G77)/H77,0)*H77))</x:f>
        <x:v>10</x:v>
      </x:c>
      <x:c r="J77" s="6" t="n">
        <x:v>5</x:v>
      </x:c>
      <x:c r="K77" s="28" t="n">
        <x:v>0.0715</x:v>
      </x:c>
      <x:c r="L77" s="30" t="n">
        <x:f>IF(K77="","",ROUND(F77*K77,4))</x:f>
        <x:v>0.429</x:v>
      </x:c>
      <x:c r="M77" s="30" t="n">
        <x:f>IF(OR(K77="",I77="",N77=""),"",IF(N77&gt;=I77,ROUND(I77*K77,4),""))</x:f>
        <x:v>0.715</x:v>
      </x:c>
      <x:c r="N77" s="7" t="n">
        <x:v>895</x:v>
      </x:c>
      <x:c r="O77" s="1" t="str">
        <x:v>In stock; part/package/value verified 2026-10-10 against LCSC listing C472832 (Samsung Electro-Mechanics CL21B684KBFVPNE, 0805); JLC extended; LCSC stock 895, JLC list stock 898 at lookup vs order qty 10; price is the listed ladder at order qty; re-check at order.</x:v>
      </x:c>
      <x:c r="P77" s="4" t="n">
        <x:v>46305</x:v>
      </x:c>
      <x:c r="Q77" s="1" t="str">
        <x:v>2026-10-10</x:v>
      </x:c>
      <x:c r="R77" s="1" t="str">
        <x:v>Passive repackage 2026-10-06 (hand-solder policy): was C_0805 using CL21B684KBFVPNE. See reports/passive-repackage-2026-10-06.md. Amplifiers sheet, 2026-10-06. Variant suffix per the LCSC listing; confirm voltage/dielectric on the datasheet.</x:v>
      </x:c>
      <x:c r="S77" s="1" t="str">
        <x:v>https://www.lcsc.com/product-detail/C472832.html</x:v>
      </x:c>
    </x:row>
    <x:row r="78" ht="36" customHeight="1">
      <x:c r="A78" s="22" t="str">
        <x:v>FB200</x:v>
      </x:c>
      <x:c r="B78" s="22" t="str">
        <x:v>BLM15AG601SN1D 0402 hand-solder (R_0402_1005Metric)</x:v>
      </x:c>
      <x:c r="C78" s="22" t="str">
        <x:v>Murata</x:v>
      </x:c>
      <x:c r="D78" s="22" t="str">
        <x:v>BLM15AG601SN1D</x:v>
      </x:c>
      <x:c r="E78" s="22" t="str">
        <x:v>C76884</x:v>
      </x:c>
      <x:c r="F78" s="23" t="n">
        <x:v>1</x:v>
      </x:c>
      <x:c r="G78" s="13" t="n">
        <x:v>100</x:v>
      </x:c>
      <x:c r="H78" s="13" t="n">
        <x:v>100</x:v>
      </x:c>
      <x:c r="I78" s="14" t="n">
        <x:f>IF(OR(D78="",G78="",H78=""),"",IF(COUNTIF($D$11:D78,D78)&gt;1,0,ROUNDUP(MAX(SUMIF($D$11:$D$111,D78,$F$11:$F$111),G78)/H78,0)*H78))</x:f>
        <x:v>100</x:v>
      </x:c>
      <x:c r="J78" s="6" t="n">
        <x:v>100</x:v>
      </x:c>
      <x:c r="K78" s="28" t="n">
        <x:v>0.0091</x:v>
      </x:c>
      <x:c r="L78" s="30" t="n">
        <x:f>IF(K78="","",ROUND(F78*K78,4))</x:f>
        <x:v>0.0091</x:v>
      </x:c>
      <x:c r="M78" s="30" t="n">
        <x:f>IF(OR(K78="",I78="",N78=""),"",IF(N78&gt;=I78,ROUND(I78*K78,4),""))</x:f>
        <x:v>0.91</x:v>
      </x:c>
      <x:c r="N78" s="7" t="n">
        <x:v>1378900</x:v>
      </x:c>
      <x:c r="O78" s="1" t="str">
        <x:v>In stock; part/package/value verified 2026-10-10 against LCSC listing C76884 (muRata BLM15AG601SN1D, 0402); JLC extended; LCSC stock 1378900, JLC list stock 1378901 at lookup vs order qty 100; price is the listed ladder at order qty; re-check at order.</x:v>
      </x:c>
      <x:c r="P78" s="4" t="n">
        <x:v>46305</x:v>
      </x:c>
      <x:c r="Q78" s="1" t="str">
        <x:v>2026-10-10</x:v>
      </x:c>
      <x:c r="R78" s="1" t="str">
        <x:v>Passive repackage 2026-10-06 (hand-solder policy): was R_0603 using BLM18AG601SN1D. See reports/passive-repackage-2026-10-06.md. MPN not stock-checked unless an LCSC code with price is shown. Value text corrected: MPN is BLM15AG601SN1D (0402).</x:v>
      </x:c>
      <x:c r="S78" s="1" t="str">
        <x:v>https://www.lcsc.com/product-detail/C76884.html</x:v>
      </x:c>
    </x:row>
    <x:row r="79" ht="36" customHeight="1">
      <x:c r="A79" s="22" t="str">
        <x:v>R10</x:v>
      </x:c>
      <x:c r="B79" s="22" t="str">
        <x:v>200k 1% 0402 hand-solder (R_0402_1005Metric)</x:v>
      </x:c>
      <x:c r="C79" s="22" t="str">
        <x:v>Yageo</x:v>
      </x:c>
      <x:c r="D79" s="22" t="str">
        <x:v>RC0402FR-07200KL</x:v>
      </x:c>
      <x:c r="E79" s="22" t="str">
        <x:v>C114763</x:v>
      </x:c>
      <x:c r="F79" s="23" t="n">
        <x:v>1</x:v>
      </x:c>
      <x:c r="G79" s="13" t="n">
        <x:v>100</x:v>
      </x:c>
      <x:c r="H79" s="13" t="n">
        <x:v>100</x:v>
      </x:c>
      <x:c r="I79" s="14" t="n">
        <x:f>IF(OR(D79="",G79="",H79=""),"",IF(COUNTIF($D$11:D79,D79)&gt;1,0,ROUNDUP(MAX(SUMIF($D$11:$D$111,D79,$F$11:$F$111),G79)/H79,0)*H79))</x:f>
        <x:v>100</x:v>
      </x:c>
      <x:c r="J79" s="6" t="n">
        <x:v>100</x:v>
      </x:c>
      <x:c r="K79" s="28" t="n">
        <x:v>0.0022</x:v>
      </x:c>
      <x:c r="L79" s="30" t="n">
        <x:f>IF(K79="","",ROUND(F79*K79,4))</x:f>
        <x:v>0.0022</x:v>
      </x:c>
      <x:c r="M79" s="30" t="n">
        <x:f>IF(OR(K79="",I79="",N79=""),"",IF(N79&gt;=I79,ROUND(I79*K79,4),""))</x:f>
        <x:v>0.22</x:v>
      </x:c>
      <x:c r="N79" s="7" t="n">
        <x:v>3013200</x:v>
      </x:c>
      <x:c r="O79" s="1" t="str">
        <x:v>In stock; part/package/value verified 2026-10-10 against LCSC listing C114763 (YAGEO RC0402FR-07200KL, 0402); JLC extended; LCSC stock 3013200, JLC list stock 3100336 at lookup vs order qty 100; price is the listed ladder at order qty; re-check at order.</x:v>
      </x:c>
      <x:c r="P79" s="4" t="n">
        <x:v>46305</x:v>
      </x:c>
      <x:c r="Q79" s="1" t="str">
        <x:v>2026-10-10</x:v>
      </x:c>
      <x:c r="R79" s="1" t="str">
        <x:v>Passive repackage 2026-10-06 (hand-solder policy): was R_0603 using RC0603FR-07200KL. See reports/passive-repackage-2026-10-06.md. MPN not stock-checked unless an LCSC code with price is shown.</x:v>
      </x:c>
      <x:c r="S79" s="1" t="str">
        <x:v>https://www.lcsc.com/product-detail/C114763.html</x:v>
      </x:c>
    </x:row>
    <x:row r="80" ht="36" customHeight="1">
      <x:c r="A80" s="22" t="str">
        <x:v>R100</x:v>
      </x:c>
      <x:c r="B80" s="22" t="str">
        <x:v>5.23k 0402 hand-solder (R_0402_1005Metric)</x:v>
      </x:c>
      <x:c r="C80" s="22" t="str">
        <x:v>UNI-ROYAL</x:v>
      </x:c>
      <x:c r="D80" s="22" t="str">
        <x:v>0402WGF5231TCE</x:v>
      </x:c>
      <x:c r="E80" s="22" t="str">
        <x:v>C25907</x:v>
      </x:c>
      <x:c r="F80" s="23" t="n">
        <x:v>1</x:v>
      </x:c>
      <x:c r="G80" s="13" t="n">
        <x:v>100</x:v>
      </x:c>
      <x:c r="H80" s="13" t="n">
        <x:v>100</x:v>
      </x:c>
      <x:c r="I80" s="14" t="n">
        <x:f>IF(OR(D80="",G80="",H80=""),"",IF(COUNTIF($D$11:D80,D80)&gt;1,0,ROUNDUP(MAX(SUMIF($D$11:$D$111,D80,$F$11:$F$111),G80)/H80,0)*H80))</x:f>
        <x:v>100</x:v>
      </x:c>
      <x:c r="J80" s="6" t="n">
        <x:v>100</x:v>
      </x:c>
      <x:c r="K80" s="28" t="n">
        <x:v>0.0036</x:v>
      </x:c>
      <x:c r="L80" s="30" t="n">
        <x:f>IF(K80="","",ROUND(F80*K80,4))</x:f>
        <x:v>0.0036</x:v>
      </x:c>
      <x:c r="M80" s="30" t="n">
        <x:f>IF(OR(K80="",I80="",N80=""),"",IF(N80&gt;=I80,ROUND(I80*K80,4),""))</x:f>
        <x:v>0.36</x:v>
      </x:c>
      <x:c r="N80" s="7" t="n">
        <x:v>3700</x:v>
      </x:c>
      <x:c r="O80" s="1" t="str">
        <x:v>In stock; coordinator-approved substitution 2026-10-10 (was RC0402FR-075K23L C477746); verified against LCSC listing C25907 (UNI-ROYAL 0402WGF5231TCE, 0402; 5.23kΩ, 50V, ±100ppm/℃, ±1%); LCSC stock 3700 at lookup vs order qty 100; price is the listed ladder at order qty; re-check at order.</x:v>
      </x:c>
      <x:c r="P80" s="4" t="n">
        <x:v>46305</x:v>
      </x:c>
      <x:c r="Q80" s="1" t="str">
        <x:v>2026-10-10</x:v>
      </x:c>
      <x:c r="R80" s="1" t="str">
        <x:v>Passive repackage 2026-10-06 (hand-solder policy): was R_0603 using 1RC0603F5231. See reports/passive-repackage-2026-10-06.md. SUBSTITUTION 2026-10-10 (coordinator-approved): RC0402FR-075K23L C477746 -&gt; 0402WGF5231TCE C25907. Original RC0402FR-075K23L stock 0; same 5.23 kOhm 1% 0402 50 V 62.5 mW thick film, 100 ppm.</x:v>
      </x:c>
      <x:c r="S80" s="1" t="str">
        <x:v>https://www.lcsc.com/product-detail/C25907.html</x:v>
      </x:c>
    </x:row>
    <x:row r="81" ht="36" customHeight="1">
      <x:c r="A81" s="22" t="str">
        <x:v>R101</x:v>
      </x:c>
      <x:c r="B81" s="22" t="str">
        <x:v>30.1k 0402 hand-solder (R_0402_1005Metric)</x:v>
      </x:c>
      <x:c r="C81" s="22" t="str">
        <x:v>YAGEO</x:v>
      </x:c>
      <x:c r="D81" s="22" t="str">
        <x:v>AC0402FR-0730K1L</x:v>
      </x:c>
      <x:c r="E81" s="22" t="str">
        <x:v>C226982</x:v>
      </x:c>
      <x:c r="F81" s="23" t="n">
        <x:v>1</x:v>
      </x:c>
      <x:c r="G81" s="13" t="n">
        <x:v>100</x:v>
      </x:c>
      <x:c r="H81" s="13" t="n">
        <x:v>100</x:v>
      </x:c>
      <x:c r="I81" s="14" t="n">
        <x:f>IF(OR(D81="",G81="",H81=""),"",IF(COUNTIF($D$11:D81,D81)&gt;1,0,ROUNDUP(MAX(SUMIF($D$11:$D$111,D81,$F$11:$F$111),G81)/H81,0)*H81))</x:f>
        <x:v>100</x:v>
      </x:c>
      <x:c r="J81" s="6" t="n">
        <x:v>100</x:v>
      </x:c>
      <x:c r="K81" s="28" t="n">
        <x:v>0.0044</x:v>
      </x:c>
      <x:c r="L81" s="30" t="n">
        <x:f>IF(K81="","",ROUND(F81*K81,4))</x:f>
        <x:v>0.0044</x:v>
      </x:c>
      <x:c r="M81" s="30" t="n">
        <x:f>IF(OR(K81="",I81="",N81=""),"",IF(N81&gt;=I81,ROUND(I81*K81,4),""))</x:f>
        <x:v>0.44</x:v>
      </x:c>
      <x:c r="N81" s="7" t="n">
        <x:v>15500</x:v>
      </x:c>
      <x:c r="O81" s="1" t="str">
        <x:v>In stock; coordinator-approved substitution 2026-10-10 (was RC0402FR-0730K1L C138009); verified against LCSC listing C226982 (YAGEO AC0402FR-0730K1L, 0402; 30.1kΩ, 50V, ±100ppm/℃, ±1%); LCSC stock 15500 at lookup vs order qty 100; price is the listed ladder at order qty; re-check at order.</x:v>
      </x:c>
      <x:c r="P81" s="4" t="n">
        <x:v>46305</x:v>
      </x:c>
      <x:c r="Q81" s="1" t="str">
        <x:v>2026-10-10</x:v>
      </x:c>
      <x:c r="R81" s="1" t="str">
        <x:v>Passive repackage 2026-10-06 (hand-solder policy): was R_0603 using 1RC0603F3012. See reports/passive-repackage-2026-10-06.md. SUBSTITUTION 2026-10-10 (coordinator-approved): RC0402FR-0730K1L C138009 -&gt; AC0402FR-0730K1L C226982. Original RC0402FR-0730K1L stock 0; same 30.1 kOhm 1% 0402 50 V 62.5 mW, 100 ppm (Yageo AC automotive grade).</x:v>
      </x:c>
      <x:c r="S81" s="1" t="str">
        <x:v>https://www.lcsc.com/product-detail/C226982.html</x:v>
      </x:c>
    </x:row>
    <x:row r="82" ht="36" customHeight="1">
      <x:c r="A82" s="22" t="str">
        <x:v>R102, R120, R121</x:v>
      </x:c>
      <x:c r="B82" s="22" t="str">
        <x:v>4.7k 0402 hand-solder (R_0402_1005Metric)</x:v>
      </x:c>
      <x:c r="C82" s="22" t="str">
        <x:v>Yageo</x:v>
      </x:c>
      <x:c r="D82" s="22" t="str">
        <x:v>RC0402FR-074K7L</x:v>
      </x:c>
      <x:c r="E82" s="22" t="str">
        <x:v>C105871</x:v>
      </x:c>
      <x:c r="F82" s="23" t="n">
        <x:v>3</x:v>
      </x:c>
      <x:c r="G82" s="13" t="n">
        <x:v>100</x:v>
      </x:c>
      <x:c r="H82" s="13" t="n">
        <x:v>100</x:v>
      </x:c>
      <x:c r="I82" s="14" t="n">
        <x:f>IF(OR(D82="",G82="",H82=""),"",IF(COUNTIF($D$11:D82,D82)&gt;1,0,ROUNDUP(MAX(SUMIF($D$11:$D$111,D82,$F$11:$F$111),G82)/H82,0)*H82))</x:f>
        <x:v>100</x:v>
      </x:c>
      <x:c r="J82" s="6" t="n">
        <x:v>100</x:v>
      </x:c>
      <x:c r="K82" s="28" t="n">
        <x:v>0.0029</x:v>
      </x:c>
      <x:c r="L82" s="30" t="n">
        <x:f>IF(K82="","",ROUND(F82*K82,4))</x:f>
        <x:v>0.0087</x:v>
      </x:c>
      <x:c r="M82" s="30" t="n">
        <x:f>IF(OR(K82="",I82="",N82=""),"",IF(N82&gt;=I82,ROUND(I82*K82,4),""))</x:f>
        <x:v>0.29</x:v>
      </x:c>
      <x:c r="N82" s="7" t="n">
        <x:v>7646200</x:v>
      </x:c>
      <x:c r="O82" s="1" t="str">
        <x:v>In stock; part/package/value verified 2026-10-10 against LCSC listing C105871 (YAGEO RC0402FR-074K7L, 0402); JLC extended; LCSC stock 7646200, JLC list stock 8964622 at lookup vs order qty 100; price is the listed ladder at order qty; re-check at order.</x:v>
      </x:c>
      <x:c r="P82" s="4" t="n">
        <x:v>46305</x:v>
      </x:c>
      <x:c r="Q82" s="1" t="str">
        <x:v>2026-10-10</x:v>
      </x:c>
      <x:c r="R82" s="1" t="str">
        <x:v>Passive repackage 2026-10-06 (hand-solder policy): was R_0603 using RC0603FR-074K7L. See reports/passive-repackage-2026-10-06.md. MPN not stock-checked unless an LCSC code with price is shown.</x:v>
      </x:c>
      <x:c r="S82" s="1" t="str">
        <x:v>https://www.lcsc.com/product-detail/C105871.html</x:v>
      </x:c>
    </x:row>
    <x:row r="83" ht="36" customHeight="1">
      <x:c r="A83" s="22" t="str">
        <x:v>R108, R124</x:v>
      </x:c>
      <x:c r="B83" s="22" t="str">
        <x:v>180k 0402 hand-solder (R_0402_1005Metric)</x:v>
      </x:c>
      <x:c r="C83" s="22" t="str">
        <x:v>Yageo</x:v>
      </x:c>
      <x:c r="D83" s="22" t="str">
        <x:v>RC0402FR-07180KL</x:v>
      </x:c>
      <x:c r="E83" s="22" t="str">
        <x:v>C138046</x:v>
      </x:c>
      <x:c r="F83" s="23" t="n">
        <x:v>2</x:v>
      </x:c>
      <x:c r="G83" s="13" t="n">
        <x:v>100</x:v>
      </x:c>
      <x:c r="H83" s="13" t="n">
        <x:v>100</x:v>
      </x:c>
      <x:c r="I83" s="14" t="n">
        <x:f>IF(OR(D83="",G83="",H83=""),"",IF(COUNTIF($D$11:D83,D83)&gt;1,0,ROUNDUP(MAX(SUMIF($D$11:$D$111,D83,$F$11:$F$111),G83)/H83,0)*H83))</x:f>
        <x:v>100</x:v>
      </x:c>
      <x:c r="J83" s="6" t="n">
        <x:v>100</x:v>
      </x:c>
      <x:c r="K83" s="28" t="n">
        <x:v>0.0041</x:v>
      </x:c>
      <x:c r="L83" s="30" t="n">
        <x:f>IF(K83="","",ROUND(F83*K83,4))</x:f>
        <x:v>0.0082</x:v>
      </x:c>
      <x:c r="M83" s="30" t="n">
        <x:f>IF(OR(K83="",I83="",N83=""),"",IF(N83&gt;=I83,ROUND(I83*K83,4),""))</x:f>
        <x:v>0.41</x:v>
      </x:c>
      <x:c r="N83" s="7" t="n">
        <x:v>436600</x:v>
      </x:c>
      <x:c r="O83" s="1" t="str">
        <x:v>In stock; part/package/value verified 2026-10-10 against LCSC listing C138046 (YAGEO RC0402FR-07180KL, 0402); JLC extended; LCSC stock 436600, JLC list stock 485661 at lookup vs order qty 100; price is the listed ladder at order qty; re-check at order.</x:v>
      </x:c>
      <x:c r="P83" s="4" t="n">
        <x:v>46305</x:v>
      </x:c>
      <x:c r="Q83" s="1" t="str">
        <x:v>2026-10-10</x:v>
      </x:c>
      <x:c r="R83" s="1" t="str">
        <x:v>Passive repackage 2026-10-06 (hand-solder policy): was R_0603 using RC0603FR-07180KL. See reports/passive-repackage-2026-10-06.md. MPN not stock-checked unless an LCSC code with price is shown.</x:v>
      </x:c>
      <x:c r="S83" s="1" t="str">
        <x:v>https://www.lcsc.com/product-detail/C138046.html</x:v>
      </x:c>
    </x:row>
    <x:row r="84" ht="36" customHeight="1">
      <x:c r="A84" s="22" t="str">
        <x:v>R112, R200, R201, R202, R203, R204, R205</x:v>
      </x:c>
      <x:c r="B84" s="22" t="str">
        <x:v>100R 0402 hand-solder (R_0402_1005Metric)</x:v>
      </x:c>
      <x:c r="C84" s="22" t="str">
        <x:v>Yageo</x:v>
      </x:c>
      <x:c r="D84" s="22" t="str">
        <x:v>RC0402FR-07100RL</x:v>
      </x:c>
      <x:c r="E84" s="22" t="str">
        <x:v>C106232</x:v>
      </x:c>
      <x:c r="F84" s="23" t="n">
        <x:v>7</x:v>
      </x:c>
      <x:c r="G84" s="13" t="n">
        <x:v>100</x:v>
      </x:c>
      <x:c r="H84" s="13" t="n">
        <x:v>100</x:v>
      </x:c>
      <x:c r="I84" s="14" t="n">
        <x:f>IF(OR(D84="",G84="",H84=""),"",IF(COUNTIF($D$11:D84,D84)&gt;1,0,ROUNDUP(MAX(SUMIF($D$11:$D$111,D84,$F$11:$F$111),G84)/H84,0)*H84))</x:f>
        <x:v>100</x:v>
      </x:c>
      <x:c r="J84" s="6" t="n">
        <x:v>100</x:v>
      </x:c>
      <x:c r="K84" s="28" t="n">
        <x:v>0.0022</x:v>
      </x:c>
      <x:c r="L84" s="30" t="n">
        <x:f>IF(K84="","",ROUND(F84*K84,4))</x:f>
        <x:v>0.0154</x:v>
      </x:c>
      <x:c r="M84" s="30" t="n">
        <x:f>IF(OR(K84="",I84="",N84=""),"",IF(N84&gt;=I84,ROUND(I84*K84,4),""))</x:f>
        <x:v>0.22</x:v>
      </x:c>
      <x:c r="N84" s="7" t="n">
        <x:v>7952000</x:v>
      </x:c>
      <x:c r="O84" s="1" t="str">
        <x:v>In stock; part/package/value verified 2026-10-10 against LCSC listing C106232 (YAGEO RC0402FR-07100RL, 0402); JLC extended; LCSC stock 7952000, JLC list stock 8708982 at lookup vs order qty 100; price is the listed ladder at order qty; re-check at order.</x:v>
      </x:c>
      <x:c r="P84" s="4" t="n">
        <x:v>46305</x:v>
      </x:c>
      <x:c r="Q84" s="1" t="str">
        <x:v>2026-10-10</x:v>
      </x:c>
      <x:c r="R84" s="1" t="str">
        <x:v>Passive repackage 2026-10-06 (hand-solder policy): was R_0603 using RC0603FR-07100RL. See reports/passive-repackage-2026-10-06.md. MPN not stock-checked unless an LCSC code with price is shown.</x:v>
      </x:c>
      <x:c r="S84" s="1" t="str">
        <x:v>https://www.lcsc.com/product-detail/C106232.html</x:v>
      </x:c>
    </x:row>
    <x:row r="85" ht="36" customHeight="1">
      <x:c r="A85" s="22" t="str">
        <x:v>R122, R232, R233</x:v>
      </x:c>
      <x:c r="B85" s="22" t="str">
        <x:v>47k 0402 hand-solder (R_0402_1005Metric)</x:v>
      </x:c>
      <x:c r="C85" s="22" t="str">
        <x:v>Yageo</x:v>
      </x:c>
      <x:c r="D85" s="22" t="str">
        <x:v>RC0402FR-0747KL</x:v>
      </x:c>
      <x:c r="E85" s="22" t="str">
        <x:v>C93943</x:v>
      </x:c>
      <x:c r="F85" s="23" t="n">
        <x:v>3</x:v>
      </x:c>
      <x:c r="G85" s="13" t="n">
        <x:v>100</x:v>
      </x:c>
      <x:c r="H85" s="13" t="n">
        <x:v>100</x:v>
      </x:c>
      <x:c r="I85" s="14" t="n">
        <x:f>IF(OR(D85="",G85="",H85=""),"",IF(COUNTIF($D$11:D85,D85)&gt;1,0,ROUNDUP(MAX(SUMIF($D$11:$D$111,D85,$F$11:$F$111),G85)/H85,0)*H85))</x:f>
        <x:v>100</x:v>
      </x:c>
      <x:c r="J85" s="6" t="n">
        <x:v>100</x:v>
      </x:c>
      <x:c r="K85" s="28" t="n">
        <x:v>0.0033</x:v>
      </x:c>
      <x:c r="L85" s="30" t="n">
        <x:f>IF(K85="","",ROUND(F85*K85,4))</x:f>
        <x:v>0.0099</x:v>
      </x:c>
      <x:c r="M85" s="30" t="n">
        <x:f>IF(OR(K85="",I85="",N85=""),"",IF(N85&gt;=I85,ROUND(I85*K85,4),""))</x:f>
        <x:v>0.33</x:v>
      </x:c>
      <x:c r="N85" s="7" t="n">
        <x:v>5318800</x:v>
      </x:c>
      <x:c r="O85" s="1" t="str">
        <x:v>In stock; part/package/value verified 2026-10-10 against LCSC listing C93943 (YAGEO RC0402FR-0747KL, 0402); JLC extended; LCSC stock 5318800, JLC list stock 5534219 at lookup vs order qty 100; price is the listed ladder at order qty; re-check at order.</x:v>
      </x:c>
      <x:c r="P85" s="4" t="n">
        <x:v>46305</x:v>
      </x:c>
      <x:c r="Q85" s="1" t="str">
        <x:v>2026-10-10</x:v>
      </x:c>
      <x:c r="R85" s="1" t="str">
        <x:v>Passive repackage 2026-10-06 (hand-solder policy): was R_0603 using RC0603FR-0747KL. See reports/passive-repackage-2026-10-06.md. MPN not stock-checked unless an LCSC code with price is shown.</x:v>
      </x:c>
      <x:c r="S85" s="1" t="str">
        <x:v>https://www.lcsc.com/product-detail/C93943.html</x:v>
      </x:c>
    </x:row>
    <x:row r="86" ht="36" customHeight="1">
      <x:c r="A86" s="22" t="str">
        <x:v>R126, R127, R174, R241</x:v>
      </x:c>
      <x:c r="B86" s="22" t="str">
        <x:v>1M 0402 hand-solder (R_0402_1005Metric)</x:v>
      </x:c>
      <x:c r="C86" s="22" t="str">
        <x:v>Yageo</x:v>
      </x:c>
      <x:c r="D86" s="22" t="str">
        <x:v>RC0402FR-071ML</x:v>
      </x:c>
      <x:c r="E86" s="22" t="str">
        <x:v>C138033</x:v>
      </x:c>
      <x:c r="F86" s="23" t="n">
        <x:v>4</x:v>
      </x:c>
      <x:c r="G86" s="13" t="n">
        <x:v>100</x:v>
      </x:c>
      <x:c r="H86" s="13" t="n">
        <x:v>100</x:v>
      </x:c>
      <x:c r="I86" s="14" t="n">
        <x:f>IF(OR(D86="",G86="",H86=""),"",IF(COUNTIF($D$11:D86,D86)&gt;1,0,ROUNDUP(MAX(SUMIF($D$11:$D$111,D86,$F$11:$F$111),G86)/H86,0)*H86))</x:f>
        <x:v>100</x:v>
      </x:c>
      <x:c r="J86" s="6" t="n">
        <x:v>100</x:v>
      </x:c>
      <x:c r="K86" s="28" t="n">
        <x:v>0.0032</x:v>
      </x:c>
      <x:c r="L86" s="30" t="n">
        <x:f>IF(K86="","",ROUND(F86*K86,4))</x:f>
        <x:v>0.0128</x:v>
      </x:c>
      <x:c r="M86" s="30" t="n">
        <x:f>IF(OR(K86="",I86="",N86=""),"",IF(N86&gt;=I86,ROUND(I86*K86,4),""))</x:f>
        <x:v>0.32</x:v>
      </x:c>
      <x:c r="N86" s="7" t="n">
        <x:v>1799200</x:v>
      </x:c>
      <x:c r="O86" s="1" t="str">
        <x:v>In stock; part/package/value verified 2026-10-10 against LCSC listing C138033 (YAGEO RC0402FR-071ML, 0402); JLC extended; LCSC stock 1799200, JLC list stock 1966906 at lookup vs order qty 100; price is the listed ladder at order qty; re-check at order.</x:v>
      </x:c>
      <x:c r="P86" s="4" t="n">
        <x:v>46305</x:v>
      </x:c>
      <x:c r="Q86" s="1" t="str">
        <x:v>2026-10-10</x:v>
      </x:c>
      <x:c r="R86" s="1" t="str">
        <x:v>Passive repackage 2026-10-06 (hand-solder policy): was R_0603 using RC0603FR-071ML. See reports/passive-repackage-2026-10-06.md. MPN not stock-checked unless an LCSC code with price is shown.</x:v>
      </x:c>
      <x:c r="S86" s="1" t="str">
        <x:v>https://www.lcsc.com/product-detail/C138033.html</x:v>
      </x:c>
    </x:row>
    <x:row r="87" ht="36" customHeight="1">
      <x:c r="A87" s="22" t="str">
        <x:v>R140</x:v>
      </x:c>
      <x:c r="B87" s="22" t="str">
        <x:v>78.7k 1% 0402 hand-solder (R_0402_1005Metric)</x:v>
      </x:c>
      <x:c r="C87" s="22" t="str">
        <x:v>Yageo</x:v>
      </x:c>
      <x:c r="D87" s="22" t="str">
        <x:v>RC0402FR-0778K7L</x:v>
      </x:c>
      <x:c r="E87" s="22" t="str">
        <x:v>C163454</x:v>
      </x:c>
      <x:c r="F87" s="23" t="n">
        <x:v>1</x:v>
      </x:c>
      <x:c r="G87" s="13" t="n">
        <x:v>100</x:v>
      </x:c>
      <x:c r="H87" s="13" t="n">
        <x:v>100</x:v>
      </x:c>
      <x:c r="I87" s="14" t="n">
        <x:f>IF(OR(D87="",G87="",H87=""),"",IF(COUNTIF($D$11:D87,D87)&gt;1,0,ROUNDUP(MAX(SUMIF($D$11:$D$111,D87,$F$11:$F$111),G87)/H87,0)*H87))</x:f>
        <x:v>100</x:v>
      </x:c>
      <x:c r="J87" s="6" t="n">
        <x:v>100</x:v>
      </x:c>
      <x:c r="K87" s="28" t="n">
        <x:v>0.0026</x:v>
      </x:c>
      <x:c r="L87" s="30" t="n">
        <x:f>IF(K87="","",ROUND(F87*K87,4))</x:f>
        <x:v>0.0026</x:v>
      </x:c>
      <x:c r="M87" s="30" t="n">
        <x:f>IF(OR(K87="",I87="",N87=""),"",IF(N87&gt;=I87,ROUND(I87*K87,4),""))</x:f>
        <x:v>0.26</x:v>
      </x:c>
      <x:c r="N87" s="7" t="n">
        <x:v>29000</x:v>
      </x:c>
      <x:c r="O87" s="1" t="str">
        <x:v>In stock; part/package/value verified 2026-10-10 against LCSC listing C163454 (YAGEO RC0402FR-0778K7L, 0402); JLC extended; LCSC stock 29000, JLC list stock 29019 at lookup vs order qty 100; price is the listed ladder at order qty; re-check at order.</x:v>
      </x:c>
      <x:c r="P87" s="4" t="n">
        <x:v>46305</x:v>
      </x:c>
      <x:c r="Q87" s="1" t="str">
        <x:v>2026-10-10</x:v>
      </x:c>
      <x:c r="R87" s="1" t="str">
        <x:v>Passive repackage 2026-10-06 (hand-solder policy): was R_0603 using 1RC0603F7872. See reports/passive-repackage-2026-10-06.md. MPN not stock-checked unless an LCSC code with price is shown.</x:v>
      </x:c>
      <x:c r="S87" s="1" t="str">
        <x:v>https://www.lcsc.com/product-detail/C163454.html</x:v>
      </x:c>
    </x:row>
    <x:row r="88" ht="36" customHeight="1">
      <x:c r="A88" s="22" t="str">
        <x:v>R141</x:v>
      </x:c>
      <x:c r="B88" s="22" t="str">
        <x:v>9.1k 1% 0402 hand-solder (R_0402_1005Metric)</x:v>
      </x:c>
      <x:c r="C88" s="22" t="str">
        <x:v>Yageo</x:v>
      </x:c>
      <x:c r="D88" s="22" t="str">
        <x:v>RC0402FR-079K1L</x:v>
      </x:c>
      <x:c r="E88" s="22" t="str">
        <x:v>C163450</x:v>
      </x:c>
      <x:c r="F88" s="23" t="n">
        <x:v>1</x:v>
      </x:c>
      <x:c r="G88" s="13" t="n">
        <x:v>100</x:v>
      </x:c>
      <x:c r="H88" s="13" t="n">
        <x:v>100</x:v>
      </x:c>
      <x:c r="I88" s="14" t="n">
        <x:f>IF(OR(D88="",G88="",H88=""),"",IF(COUNTIF($D$11:D88,D88)&gt;1,0,ROUNDUP(MAX(SUMIF($D$11:$D$111,D88,$F$11:$F$111),G88)/H88,0)*H88))</x:f>
        <x:v>100</x:v>
      </x:c>
      <x:c r="J88" s="6" t="n">
        <x:v>100</x:v>
      </x:c>
      <x:c r="K88" s="28" t="n">
        <x:v>0.0018</x:v>
      </x:c>
      <x:c r="L88" s="30" t="n">
        <x:f>IF(K88="","",ROUND(F88*K88,4))</x:f>
        <x:v>0.0018</x:v>
      </x:c>
      <x:c r="M88" s="30" t="n">
        <x:f>IF(OR(K88="",I88="",N88=""),"",IF(N88&gt;=I88,ROUND(I88*K88,4),""))</x:f>
        <x:v>0.18</x:v>
      </x:c>
      <x:c r="N88" s="7" t="n">
        <x:v>523700</x:v>
      </x:c>
      <x:c r="O88" s="1" t="str">
        <x:v>In stock; part/package/value verified 2026-10-10 against LCSC listing C163450 (YAGEO RC0402FR-079K1L, 0402); JLC extended; LCSC stock 523700, JLC list stock 535901 at lookup vs order qty 100; price is the listed ladder at order qty; re-check at order.</x:v>
      </x:c>
      <x:c r="P88" s="4" t="n">
        <x:v>46305</x:v>
      </x:c>
      <x:c r="Q88" s="1" t="str">
        <x:v>2026-10-10</x:v>
      </x:c>
      <x:c r="R88" s="1" t="str">
        <x:v>Passive repackage 2026-10-06 (hand-solder policy): was R_0603 using RC0603FR-079K1L. See reports/passive-repackage-2026-10-06.md. MPN not stock-checked unless an LCSC code with price is shown.</x:v>
      </x:c>
      <x:c r="S88" s="1" t="str">
        <x:v>https://www.lcsc.com/product-detail/C163450.html</x:v>
      </x:c>
    </x:row>
    <x:row r="89" ht="36" customHeight="1">
      <x:c r="A89" s="22" t="str">
        <x:v>R150</x:v>
      </x:c>
      <x:c r="B89" s="22" t="str">
        <x:v>604k 1% 0402 hand-solder (R_0402_1005Metric)</x:v>
      </x:c>
      <x:c r="C89" s="22" t="str">
        <x:v>UNI-ROYAL</x:v>
      </x:c>
      <x:c r="D89" s="22" t="str">
        <x:v>0402WGF6043TCE</x:v>
      </x:c>
      <x:c r="E89" s="22" t="str">
        <x:v>C27013</x:v>
      </x:c>
      <x:c r="F89" s="23" t="n">
        <x:v>1</x:v>
      </x:c>
      <x:c r="G89" s="13" t="n">
        <x:v>100</x:v>
      </x:c>
      <x:c r="H89" s="13" t="n">
        <x:v>100</x:v>
      </x:c>
      <x:c r="I89" s="14" t="n">
        <x:f>IF(OR(D89="",G89="",H89=""),"",IF(COUNTIF($D$11:D89,D89)&gt;1,0,ROUNDUP(MAX(SUMIF($D$11:$D$111,D89,$F$11:$F$111),G89)/H89,0)*H89))</x:f>
        <x:v>100</x:v>
      </x:c>
      <x:c r="J89" s="6" t="n">
        <x:v>100</x:v>
      </x:c>
      <x:c r="K89" s="28" t="n">
        <x:v>0.0009</x:v>
      </x:c>
      <x:c r="L89" s="30" t="n">
        <x:f>IF(K89="","",ROUND(F89*K89,4))</x:f>
        <x:v>0.0009</x:v>
      </x:c>
      <x:c r="M89" s="30" t="n">
        <x:f>IF(OR(K89="",I89="",N89=""),"",IF(N89&gt;=I89,ROUND(I89*K89,4),""))</x:f>
        <x:v>0.09</x:v>
      </x:c>
      <x:c r="N89" s="7" t="n">
        <x:v>1800</x:v>
      </x:c>
      <x:c r="O89" s="1" t="str">
        <x:v>In stock; coordinator-approved substitution 2026-10-10 (was RC0402FR-07604KL C327334); verified against LCSC listing C27013 (UNI-ROYAL 0402WGF6043TCE, 0402; 604kΩ, 50V, ±100ppm/℃, ±1%); LCSC stock 1800 at lookup vs order qty 100; price is the listed ladder at order qty; re-check at order.</x:v>
      </x:c>
      <x:c r="P89" s="4" t="n">
        <x:v>46305</x:v>
      </x:c>
      <x:c r="Q89" s="1" t="str">
        <x:v>2026-10-10</x:v>
      </x:c>
      <x:c r="R89" s="1" t="str">
        <x:v>Passive repackage 2026-10-06 (hand-solder policy): was R_0603 using FRC0603F6043TS. See reports/passive-repackage-2026-10-06.md. SUBSTITUTION 2026-10-10 (coordinator-approved): RC0402FR-07604KL C327334 -&gt; 0402WGF6043TCE C27013. Original RC0402FR-07604KL stock 0; same 604 kOhm 1% 0402 50 V 62.5 mW, 100 ppm.</x:v>
      </x:c>
      <x:c r="S89" s="1" t="str">
        <x:v>https://www.lcsc.com/product-detail/C27013.html</x:v>
      </x:c>
    </x:row>
    <x:row r="90" ht="36" customHeight="1">
      <x:c r="A90" s="22" t="str">
        <x:v>R151</x:v>
      </x:c>
      <x:c r="B90" s="22" t="str">
        <x:v>91k 1% 0402 hand-solder (R_0402_1005Metric)</x:v>
      </x:c>
      <x:c r="C90" s="22" t="str">
        <x:v>YAGEO</x:v>
      </x:c>
      <x:c r="D90" s="22" t="str">
        <x:v>AC0402FR-0791KL</x:v>
      </x:c>
      <x:c r="E90" s="22" t="str">
        <x:v>C144733</x:v>
      </x:c>
      <x:c r="F90" s="23" t="n">
        <x:v>1</x:v>
      </x:c>
      <x:c r="G90" s="13" t="n">
        <x:v>100</x:v>
      </x:c>
      <x:c r="H90" s="13" t="n">
        <x:v>100</x:v>
      </x:c>
      <x:c r="I90" s="14" t="n">
        <x:f>IF(OR(D90="",G90="",H90=""),"",IF(COUNTIF($D$11:D90,D90)&gt;1,0,ROUNDUP(MAX(SUMIF($D$11:$D$111,D90,$F$11:$F$111),G90)/H90,0)*H90))</x:f>
        <x:v>100</x:v>
      </x:c>
      <x:c r="J90" s="6" t="n">
        <x:v>100</x:v>
      </x:c>
      <x:c r="K90" s="28" t="n">
        <x:v>0.0071</x:v>
      </x:c>
      <x:c r="L90" s="30" t="n">
        <x:f>IF(K90="","",ROUND(F90*K90,4))</x:f>
        <x:v>0.0071</x:v>
      </x:c>
      <x:c r="M90" s="30" t="n">
        <x:f>IF(OR(K90="",I90="",N90=""),"",IF(N90&gt;=I90,ROUND(I90*K90,4),""))</x:f>
        <x:v>0.71</x:v>
      </x:c>
      <x:c r="N90" s="7" t="n">
        <x:v>30300</x:v>
      </x:c>
      <x:c r="O90" s="1" t="str">
        <x:v>In stock; coordinator-approved substitution 2026-10-10 (was RC0402FR-0791KL C327323); verified against LCSC listing C144733 (YAGEO AC0402FR-0791KL, 0402; 91kΩ, 50V, ±100ppm/℃, ±1%); LCSC stock 30300 at lookup vs order qty 100; price is the listed ladder at order qty; re-check at order.</x:v>
      </x:c>
      <x:c r="P90" s="4" t="n">
        <x:v>46305</x:v>
      </x:c>
      <x:c r="Q90" s="1" t="str">
        <x:v>2026-10-10</x:v>
      </x:c>
      <x:c r="R90" s="1" t="str">
        <x:v>Passive repackage 2026-10-06 (hand-solder policy): was R_0603 using AC0603FR-0791KL. See reports/passive-repackage-2026-10-06.md. SUBSTITUTION 2026-10-10 (coordinator-approved): RC0402FR-0791KL C327323 -&gt; AC0402FR-0791KL C144733. Original RC0402FR-0791KL stock 0; same 91 kOhm 1% 0402 50 V 62.5 mW, 100 ppm (Yageo AC automotive grade).</x:v>
      </x:c>
      <x:c r="S90" s="1" t="str">
        <x:v>https://www.lcsc.com/product-detail/C144733.html</x:v>
      </x:c>
    </x:row>
    <x:row r="91" ht="36" customHeight="1">
      <x:c r="A91" s="22" t="str">
        <x:v>R170</x:v>
      </x:c>
      <x:c r="B91" s="22" t="str">
        <x:v>2.2 0402 hand-solder (R_0402_1005Metric)</x:v>
      </x:c>
      <x:c r="C91" s="22" t="str">
        <x:v>Yageo</x:v>
      </x:c>
      <x:c r="D91" s="22" t="str">
        <x:v>RC0402FR-072R2L</x:v>
      </x:c>
      <x:c r="E91" s="22" t="str">
        <x:v>C327251</x:v>
      </x:c>
      <x:c r="F91" s="23" t="n">
        <x:v>1</x:v>
      </x:c>
      <x:c r="G91" s="13" t="n">
        <x:v>100</x:v>
      </x:c>
      <x:c r="H91" s="13" t="n">
        <x:v>100</x:v>
      </x:c>
      <x:c r="I91" s="14" t="n">
        <x:f>IF(OR(D91="",G91="",H91=""),"",IF(COUNTIF($D$11:D91,D91)&gt;1,0,ROUNDUP(MAX(SUMIF($D$11:$D$111,D91,$F$11:$F$111),G91)/H91,0)*H91))</x:f>
        <x:v>100</x:v>
      </x:c>
      <x:c r="J91" s="6" t="n">
        <x:v>100</x:v>
      </x:c>
      <x:c r="K91" s="28" t="n">
        <x:v>0.0031</x:v>
      </x:c>
      <x:c r="L91" s="30" t="n">
        <x:f>IF(K91="","",ROUND(F91*K91,4))</x:f>
        <x:v>0.0031</x:v>
      </x:c>
      <x:c r="M91" s="30" t="n">
        <x:f>IF(OR(K91="",I91="",N91=""),"",IF(N91&gt;=I91,ROUND(I91*K91,4),""))</x:f>
        <x:v>0.31</x:v>
      </x:c>
      <x:c r="N91" s="7" t="n">
        <x:v>503000</x:v>
      </x:c>
      <x:c r="O91" s="1" t="str">
        <x:v>In stock; part/package/value verified 2026-10-10 against LCSC listing C327251 (YAGEO RC0402FR-072R2L, 0402); JLC extended; LCSC stock 503000, JLC list stock 729233 at lookup vs order qty 100; price is the listed ladder at order qty; re-check at order.</x:v>
      </x:c>
      <x:c r="P91" s="4" t="n">
        <x:v>46305</x:v>
      </x:c>
      <x:c r="Q91" s="1" t="str">
        <x:v>2026-10-10</x:v>
      </x:c>
      <x:c r="R91" s="1" t="str">
        <x:v>Passive repackage 2026-10-06 (hand-solder policy): was R_0603 using RC0603FR-072R2L. See reports/passive-repackage-2026-10-06.md. MPN not stock-checked unless an LCSC code with price is shown.</x:v>
      </x:c>
      <x:c r="S91" s="1" t="str">
        <x:v>https://www.lcsc.com/product-detail/C327251.html</x:v>
      </x:c>
    </x:row>
    <x:row r="92" ht="36" customHeight="1">
      <x:c r="A92" s="22" t="str">
        <x:v>R171, R172</x:v>
      </x:c>
      <x:c r="B92" s="22" t="str">
        <x:v>22 0402 hand-solder (R_0402_1005Metric)</x:v>
      </x:c>
      <x:c r="C92" s="22" t="str">
        <x:v>Yageo</x:v>
      </x:c>
      <x:c r="D92" s="22" t="str">
        <x:v>RC0402FR-0722RL</x:v>
      </x:c>
      <x:c r="E92" s="22" t="str">
        <x:v>C114765</x:v>
      </x:c>
      <x:c r="F92" s="23" t="n">
        <x:v>2</x:v>
      </x:c>
      <x:c r="G92" s="13" t="n">
        <x:v>100</x:v>
      </x:c>
      <x:c r="H92" s="13" t="n">
        <x:v>100</x:v>
      </x:c>
      <x:c r="I92" s="14" t="n">
        <x:f>IF(OR(D92="",G92="",H92=""),"",IF(COUNTIF($D$11:D92,D92)&gt;1,0,ROUNDUP(MAX(SUMIF($D$11:$D$111,D92,$F$11:$F$111),G92)/H92,0)*H92))</x:f>
        <x:v>100</x:v>
      </x:c>
      <x:c r="J92" s="6" t="n">
        <x:v>100</x:v>
      </x:c>
      <x:c r="K92" s="28" t="n">
        <x:v>0.0026</x:v>
      </x:c>
      <x:c r="L92" s="30" t="n">
        <x:f>IF(K92="","",ROUND(F92*K92,4))</x:f>
        <x:v>0.0052</x:v>
      </x:c>
      <x:c r="M92" s="30" t="n">
        <x:f>IF(OR(K92="",I92="",N92=""),"",IF(N92&gt;=I92,ROUND(I92*K92,4),""))</x:f>
        <x:v>0.26</x:v>
      </x:c>
      <x:c r="N92" s="7" t="n">
        <x:v>3458900</x:v>
      </x:c>
      <x:c r="O92" s="1" t="str">
        <x:v>In stock; part/package/value verified 2026-10-10 against LCSC listing C114765 (YAGEO RC0402FR-0722RL, 0402); JLC extended; LCSC stock 3458900, JLC list stock 3986454 at lookup vs order qty 100; price is the listed ladder at order qty; re-check at order.</x:v>
      </x:c>
      <x:c r="P92" s="4" t="n">
        <x:v>46305</x:v>
      </x:c>
      <x:c r="Q92" s="1" t="str">
        <x:v>2026-10-10</x:v>
      </x:c>
      <x:c r="R92" s="1" t="str">
        <x:v>Passive repackage 2026-10-06 (hand-solder policy): was R_0603 using RC0603FR-0722RL. See reports/passive-repackage-2026-10-06.md. MPN not stock-checked unless an LCSC code with price is shown.</x:v>
      </x:c>
      <x:c r="S92" s="1" t="str">
        <x:v>https://www.lcsc.com/product-detail/C114765.html</x:v>
      </x:c>
    </x:row>
    <x:row r="93" ht="36" customHeight="1">
      <x:c r="A93" s="22" t="str">
        <x:v>R173</x:v>
      </x:c>
      <x:c r="B93" s="22" t="str">
        <x:v>1.5k 0402 hand-solder (R_0402_1005Metric)</x:v>
      </x:c>
      <x:c r="C93" s="22" t="str">
        <x:v>Yageo</x:v>
      </x:c>
      <x:c r="D93" s="22" t="str">
        <x:v>RC0402FR-071K5L</x:v>
      </x:c>
      <x:c r="E93" s="22" t="str">
        <x:v>C114759</x:v>
      </x:c>
      <x:c r="F93" s="23" t="n">
        <x:v>1</x:v>
      </x:c>
      <x:c r="G93" s="13" t="n">
        <x:v>100</x:v>
      </x:c>
      <x:c r="H93" s="13" t="n">
        <x:v>100</x:v>
      </x:c>
      <x:c r="I93" s="14" t="n">
        <x:f>IF(OR(D93="",G93="",H93=""),"",IF(COUNTIF($D$11:D93,D93)&gt;1,0,ROUNDUP(MAX(SUMIF($D$11:$D$111,D93,$F$11:$F$111),G93)/H93,0)*H93))</x:f>
        <x:v>100</x:v>
      </x:c>
      <x:c r="J93" s="6" t="n">
        <x:v>100</x:v>
      </x:c>
      <x:c r="K93" s="28" t="n">
        <x:v>0.0028</x:v>
      </x:c>
      <x:c r="L93" s="30" t="n">
        <x:f>IF(K93="","",ROUND(F93*K93,4))</x:f>
        <x:v>0.0028</x:v>
      </x:c>
      <x:c r="M93" s="30" t="n">
        <x:f>IF(OR(K93="",I93="",N93=""),"",IF(N93&gt;=I93,ROUND(I93*K93,4),""))</x:f>
        <x:v>0.28</x:v>
      </x:c>
      <x:c r="N93" s="7" t="n">
        <x:v>968800</x:v>
      </x:c>
      <x:c r="O93" s="1" t="str">
        <x:v>In stock; part/package/value verified 2026-10-10 against LCSC listing C114759 (YAGEO RC0402FR-071K5L, 0402); JLC extended; LCSC stock 968800, JLC list stock 1025443 at lookup vs order qty 100; price is the listed ladder at order qty; re-check at order.</x:v>
      </x:c>
      <x:c r="P93" s="4" t="n">
        <x:v>46305</x:v>
      </x:c>
      <x:c r="Q93" s="1" t="str">
        <x:v>2026-10-10</x:v>
      </x:c>
      <x:c r="R93" s="1" t="str">
        <x:v>Passive repackage 2026-10-06 (hand-solder policy): was R_0603 using RC0603FR-071K5L. See reports/passive-repackage-2026-10-06.md. MPN not stock-checked unless an LCSC code with price is shown.</x:v>
      </x:c>
      <x:c r="S93" s="1" t="str">
        <x:v>https://www.lcsc.com/product-detail/C114759.html</x:v>
      </x:c>
    </x:row>
    <x:row r="94" ht="36" customHeight="1">
      <x:c r="A94" s="22" t="str">
        <x:v>R206, R207, R208</x:v>
      </x:c>
      <x:c r="B94" s="22" t="str">
        <x:v>33 0402 hand-solder (R_0402_1005Metric)</x:v>
      </x:c>
      <x:c r="C94" s="22" t="str">
        <x:v>Yageo</x:v>
      </x:c>
      <x:c r="D94" s="22" t="str">
        <x:v>RC0402FR-0733RL</x:v>
      </x:c>
      <x:c r="E94" s="22" t="str">
        <x:v>C138002</x:v>
      </x:c>
      <x:c r="F94" s="23" t="n">
        <x:v>3</x:v>
      </x:c>
      <x:c r="G94" s="13" t="n">
        <x:v>100</x:v>
      </x:c>
      <x:c r="H94" s="13" t="n">
        <x:v>100</x:v>
      </x:c>
      <x:c r="I94" s="14" t="n">
        <x:f>IF(OR(D94="",G94="",H94=""),"",IF(COUNTIF($D$11:D94,D94)&gt;1,0,ROUNDUP(MAX(SUMIF($D$11:$D$111,D94,$F$11:$F$111),G94)/H94,0)*H94))</x:f>
        <x:v>100</x:v>
      </x:c>
      <x:c r="J94" s="6" t="n">
        <x:v>100</x:v>
      </x:c>
      <x:c r="K94" s="28" t="n">
        <x:v>0.0036</x:v>
      </x:c>
      <x:c r="L94" s="30" t="n">
        <x:f>IF(K94="","",ROUND(F94*K94,4))</x:f>
        <x:v>0.0108</x:v>
      </x:c>
      <x:c r="M94" s="30" t="n">
        <x:f>IF(OR(K94="",I94="",N94=""),"",IF(N94&gt;=I94,ROUND(I94*K94,4),""))</x:f>
        <x:v>0.36</x:v>
      </x:c>
      <x:c r="N94" s="7" t="n">
        <x:v>7117600</x:v>
      </x:c>
      <x:c r="O94" s="1" t="str">
        <x:v>In stock; part/package/value verified 2026-10-10 against LCSC listing C138002 (YAGEO RC0402FR-0733RL, 0402); JLC extended; LCSC stock 7117600, JLC list stock 7476387 at lookup vs order qty 100; price is the listed ladder at order qty; re-check at order.</x:v>
      </x:c>
      <x:c r="P94" s="4" t="n">
        <x:v>46305</x:v>
      </x:c>
      <x:c r="Q94" s="1" t="str">
        <x:v>2026-10-10</x:v>
      </x:c>
      <x:c r="R94" s="1" t="str">
        <x:v>Passive repackage 2026-10-06 (hand-solder policy): was R_0603 using RC0603FR-0733RL. See reports/passive-repackage-2026-10-06.md. MPN not stock-checked unless an LCSC code with price is shown.</x:v>
      </x:c>
      <x:c r="S94" s="1" t="str">
        <x:v>https://www.lcsc.com/product-detail/C138002.html</x:v>
      </x:c>
    </x:row>
    <x:row r="95" ht="36" customHeight="1">
      <x:c r="A95" s="22" t="str">
        <x:v>R209, R210</x:v>
      </x:c>
      <x:c r="B95" s="22" t="str">
        <x:v>2.2k 0402 hand-solder (R_0402_1005Metric)</x:v>
      </x:c>
      <x:c r="C95" s="22" t="str">
        <x:v>Yageo</x:v>
      </x:c>
      <x:c r="D95" s="22" t="str">
        <x:v>RC0402FR-072K2L</x:v>
      </x:c>
      <x:c r="E95" s="22" t="str">
        <x:v>C114762</x:v>
      </x:c>
      <x:c r="F95" s="23" t="n">
        <x:v>2</x:v>
      </x:c>
      <x:c r="G95" s="13" t="n">
        <x:v>100</x:v>
      </x:c>
      <x:c r="H95" s="13" t="n">
        <x:v>100</x:v>
      </x:c>
      <x:c r="I95" s="14" t="n">
        <x:f>IF(OR(D95="",G95="",H95=""),"",IF(COUNTIF($D$11:D95,D95)&gt;1,0,ROUNDUP(MAX(SUMIF($D$11:$D$111,D95,$F$11:$F$111),G95)/H95,0)*H95))</x:f>
        <x:v>100</x:v>
      </x:c>
      <x:c r="J95" s="6" t="n">
        <x:v>100</x:v>
      </x:c>
      <x:c r="K95" s="28" t="n">
        <x:v>0.0028</x:v>
      </x:c>
      <x:c r="L95" s="30" t="n">
        <x:f>IF(K95="","",ROUND(F95*K95,4))</x:f>
        <x:v>0.0056</x:v>
      </x:c>
      <x:c r="M95" s="30" t="n">
        <x:f>IF(OR(K95="",I95="",N95=""),"",IF(N95&gt;=I95,ROUND(I95*K95,4),""))</x:f>
        <x:v>0.28</x:v>
      </x:c>
      <x:c r="N95" s="7" t="n">
        <x:v>1095900</x:v>
      </x:c>
      <x:c r="O95" s="1" t="str">
        <x:v>In stock; part/package/value verified 2026-10-10 against LCSC listing C114762 (YAGEO RC0402FR-072K2L, 0402); JLC extended; LCSC stock 1095900, JLC list stock 1161337 at lookup vs order qty 100; price is the listed ladder at order qty; re-check at order.</x:v>
      </x:c>
      <x:c r="P95" s="4" t="n">
        <x:v>46305</x:v>
      </x:c>
      <x:c r="Q95" s="1" t="str">
        <x:v>2026-10-10</x:v>
      </x:c>
      <x:c r="R95" s="1" t="str">
        <x:v>Passive repackage 2026-10-06 (hand-solder policy): was R_0603 using RC0603FR-072K2L. See reports/passive-repackage-2026-10-06.md. MPN not stock-checked unless an LCSC code with price is shown.</x:v>
      </x:c>
      <x:c r="S95" s="1" t="str">
        <x:v>https://www.lcsc.com/product-detail/C114762.html</x:v>
      </x:c>
    </x:row>
    <x:row r="96" ht="36" customHeight="1">
      <x:c r="A96" s="22" t="str">
        <x:v>R250</x:v>
      </x:c>
      <x:c r="B96" s="22" t="str">
        <x:v>499k 0402 hand-solder (R_0402_1005Metric)</x:v>
      </x:c>
      <x:c r="C96" s="22" t="str">
        <x:v>Yageo</x:v>
      </x:c>
      <x:c r="D96" s="22" t="str">
        <x:v>RC0402FR-07499KL</x:v>
      </x:c>
      <x:c r="E96" s="22" t="str">
        <x:v>C137971</x:v>
      </x:c>
      <x:c r="F96" s="23" t="n">
        <x:v>1</x:v>
      </x:c>
      <x:c r="G96" s="13" t="n">
        <x:v>100</x:v>
      </x:c>
      <x:c r="H96" s="13" t="n">
        <x:v>100</x:v>
      </x:c>
      <x:c r="I96" s="14" t="n">
        <x:f>IF(OR(D96="",G96="",H96=""),"",IF(COUNTIF($D$11:D96,D96)&gt;1,0,ROUNDUP(MAX(SUMIF($D$11:$D$111,D96,$F$11:$F$111),G96)/H96,0)*H96))</x:f>
        <x:v>100</x:v>
      </x:c>
      <x:c r="J96" s="6" t="n">
        <x:v>100</x:v>
      </x:c>
      <x:c r="K96" s="28" t="n">
        <x:v>0.0038</x:v>
      </x:c>
      <x:c r="L96" s="30" t="n">
        <x:f>IF(K96="","",ROUND(F96*K96,4))</x:f>
        <x:v>0.0038</x:v>
      </x:c>
      <x:c r="M96" s="30" t="n">
        <x:f>IF(OR(K96="",I96="",N96=""),"",IF(N96&gt;=I96,ROUND(I96*K96,4),""))</x:f>
        <x:v>0.38</x:v>
      </x:c>
      <x:c r="N96" s="7" t="n">
        <x:v>200800</x:v>
      </x:c>
      <x:c r="O96" s="1" t="str">
        <x:v>In stock; part/package/value verified 2026-10-10 against LCSC listing C137971 (YAGEO RC0402FR-07499KL, 0402); JLC extended; LCSC stock 200800, JLC list stock 210152 at lookup vs order qty 100; price is the listed ladder at order qty; re-check at order.</x:v>
      </x:c>
      <x:c r="P96" s="4" t="n">
        <x:v>46305</x:v>
      </x:c>
      <x:c r="Q96" s="1" t="str">
        <x:v>2026-10-10</x:v>
      </x:c>
      <x:c r="R96" s="1" t="str">
        <x:v>Passive repackage 2026-10-06 (hand-solder policy): was R_0603 using RC0603FR-07499KL. See reports/passive-repackage-2026-10-06.md. MPN not stock-checked unless an LCSC code with price is shown.</x:v>
      </x:c>
      <x:c r="S96" s="1" t="str">
        <x:v>https://www.lcsc.com/product-detail/C137971.html</x:v>
      </x:c>
    </x:row>
    <x:row r="97" ht="36" customHeight="1">
      <x:c r="A97" s="22" t="str">
        <x:v>R251</x:v>
      </x:c>
      <x:c r="B97" s="22" t="str">
        <x:v>56k 0402 hand-solder (R_0402_1005Metric)</x:v>
      </x:c>
      <x:c r="C97" s="22" t="str">
        <x:v>Yageo</x:v>
      </x:c>
      <x:c r="D97" s="22" t="str">
        <x:v>RC0402FR-0756KL</x:v>
      </x:c>
      <x:c r="E97" s="22" t="str">
        <x:v>C114756</x:v>
      </x:c>
      <x:c r="F97" s="23" t="n">
        <x:v>1</x:v>
      </x:c>
      <x:c r="G97" s="13" t="n">
        <x:v>100</x:v>
      </x:c>
      <x:c r="H97" s="13" t="n">
        <x:v>100</x:v>
      </x:c>
      <x:c r="I97" s="14" t="n">
        <x:f>IF(OR(D97="",G97="",H97=""),"",IF(COUNTIF($D$11:D97,D97)&gt;1,0,ROUNDUP(MAX(SUMIF($D$11:$D$111,D97,$F$11:$F$111),G97)/H97,0)*H97))</x:f>
        <x:v>100</x:v>
      </x:c>
      <x:c r="J97" s="6" t="n">
        <x:v>100</x:v>
      </x:c>
      <x:c r="K97" s="28" t="n">
        <x:v>0.0026</x:v>
      </x:c>
      <x:c r="L97" s="30" t="n">
        <x:f>IF(K97="","",ROUND(F97*K97,4))</x:f>
        <x:v>0.0026</x:v>
      </x:c>
      <x:c r="M97" s="30" t="n">
        <x:f>IF(OR(K97="",I97="",N97=""),"",IF(N97&gt;=I97,ROUND(I97*K97,4),""))</x:f>
        <x:v>0.26</x:v>
      </x:c>
      <x:c r="N97" s="7" t="n">
        <x:v>1253900</x:v>
      </x:c>
      <x:c r="O97" s="1" t="str">
        <x:v>In stock; part/package/value verified 2026-10-10 against LCSC listing C114756 (YAGEO RC0402FR-0756KL, 0402); JLC extended; LCSC stock 1253900, JLC list stock 1332887 at lookup vs order qty 100; price is the listed ladder at order qty; re-check at order.</x:v>
      </x:c>
      <x:c r="P97" s="4" t="n">
        <x:v>46305</x:v>
      </x:c>
      <x:c r="Q97" s="1" t="str">
        <x:v>2026-10-10</x:v>
      </x:c>
      <x:c r="R97" s="1" t="str">
        <x:v>Passive repackage 2026-10-06 (hand-solder policy): was R_0603 using RC0603FR-0756KL. See reports/passive-repackage-2026-10-06.md. MPN not stock-checked unless an LCSC code with price is shown.</x:v>
      </x:c>
      <x:c r="S97" s="1" t="str">
        <x:v>https://www.lcsc.com/product-detail/C114756.html</x:v>
      </x:c>
    </x:row>
    <x:row r="98" ht="36" customHeight="1">
      <x:c r="A98" s="22" t="str">
        <x:v>R252</x:v>
      </x:c>
      <x:c r="B98" s="22" t="str">
        <x:v>301k 0402 hand-solder (R_0402_1005Metric)</x:v>
      </x:c>
      <x:c r="C98" s="22" t="str">
        <x:v>Yageo</x:v>
      </x:c>
      <x:c r="D98" s="22" t="str">
        <x:v>RC0402FR-07301KL</x:v>
      </x:c>
      <x:c r="E98" s="22" t="str">
        <x:v>C171693</x:v>
      </x:c>
      <x:c r="F98" s="23" t="n">
        <x:v>1</x:v>
      </x:c>
      <x:c r="G98" s="13" t="n">
        <x:v>100</x:v>
      </x:c>
      <x:c r="H98" s="13" t="n">
        <x:v>100</x:v>
      </x:c>
      <x:c r="I98" s="14" t="n">
        <x:f>IF(OR(D98="",G98="",H98=""),"",IF(COUNTIF($D$11:D98,D98)&gt;1,0,ROUNDUP(MAX(SUMIF($D$11:$D$111,D98,$F$11:$F$111),G98)/H98,0)*H98))</x:f>
        <x:v>100</x:v>
      </x:c>
      <x:c r="J98" s="6" t="n">
        <x:v>100</x:v>
      </x:c>
      <x:c r="K98" s="28" t="n">
        <x:v>0.0018</x:v>
      </x:c>
      <x:c r="L98" s="30" t="n">
        <x:f>IF(K98="","",ROUND(F98*K98,4))</x:f>
        <x:v>0.0018</x:v>
      </x:c>
      <x:c r="M98" s="30" t="n">
        <x:f>IF(OR(K98="",I98="",N98=""),"",IF(N98&gt;=I98,ROUND(I98*K98,4),""))</x:f>
        <x:v>0.18</x:v>
      </x:c>
      <x:c r="N98" s="7" t="n">
        <x:v>5500</x:v>
      </x:c>
      <x:c r="O98" s="1" t="str">
        <x:v>In stock; part/package/value verified 2026-10-10 against LCSC listing C171693 (YAGEO RC0402FR-07301KL, 0402); JLC extended; LCSC stock 5500, JLC list stock 5557 at lookup vs order qty 100; price is the listed ladder at order qty; re-check at order.</x:v>
      </x:c>
      <x:c r="P98" s="4" t="n">
        <x:v>46305</x:v>
      </x:c>
      <x:c r="Q98" s="1" t="str">
        <x:v>2026-10-10</x:v>
      </x:c>
      <x:c r="R98" s="1" t="str">
        <x:v>Passive repackage 2026-10-06 (hand-solder policy): was R_0603 using RC0603FR-07301KL. See reports/passive-repackage-2026-10-06.md. MPN not stock-checked unless an LCSC code with price is shown.</x:v>
      </x:c>
      <x:c r="S98" s="1" t="str">
        <x:v>https://www.lcsc.com/product-detail/C171693.html</x:v>
      </x:c>
    </x:row>
    <x:row r="99" ht="36" customHeight="1">
      <x:c r="A99" s="22" t="str">
        <x:v>R253</x:v>
      </x:c>
      <x:c r="B99" s="22" t="str">
        <x:v>150k 0402 hand-solder (R_0402_1005Metric)</x:v>
      </x:c>
      <x:c r="C99" s="22" t="str">
        <x:v>Yageo</x:v>
      </x:c>
      <x:c r="D99" s="22" t="str">
        <x:v>RC0402FR-07150KL</x:v>
      </x:c>
      <x:c r="E99" s="22" t="str">
        <x:v>C93947</x:v>
      </x:c>
      <x:c r="F99" s="23" t="n">
        <x:v>1</x:v>
      </x:c>
      <x:c r="G99" s="13" t="n">
        <x:v>100</x:v>
      </x:c>
      <x:c r="H99" s="13" t="n">
        <x:v>100</x:v>
      </x:c>
      <x:c r="I99" s="14" t="n">
        <x:f>IF(OR(D99="",G99="",H99=""),"",IF(COUNTIF($D$11:D99,D99)&gt;1,0,ROUNDUP(MAX(SUMIF($D$11:$D$111,D99,$F$11:$F$111),G99)/H99,0)*H99))</x:f>
        <x:v>100</x:v>
      </x:c>
      <x:c r="J99" s="6" t="n">
        <x:v>100</x:v>
      </x:c>
      <x:c r="K99" s="28" t="n">
        <x:v>0.002</x:v>
      </x:c>
      <x:c r="L99" s="30" t="n">
        <x:f>IF(K99="","",ROUND(F99*K99,4))</x:f>
        <x:v>0.002</x:v>
      </x:c>
      <x:c r="M99" s="30" t="n">
        <x:f>IF(OR(K99="",I99="",N99=""),"",IF(N99&gt;=I99,ROUND(I99*K99,4),""))</x:f>
        <x:v>0.2</x:v>
      </x:c>
      <x:c r="N99" s="7" t="n">
        <x:v>4248400</x:v>
      </x:c>
      <x:c r="O99" s="1" t="str">
        <x:v>In stock; part/package/value verified 2026-10-10 against LCSC listing C93947 (YAGEO RC0402FR-07150KL, 0402); JLC extended; LCSC stock 4248400, JLC list stock 4377120 at lookup vs order qty 100; price is the listed ladder at order qty; re-check at order.</x:v>
      </x:c>
      <x:c r="P99" s="4" t="n">
        <x:v>46305</x:v>
      </x:c>
      <x:c r="Q99" s="1" t="str">
        <x:v>2026-10-10</x:v>
      </x:c>
      <x:c r="R99" s="1" t="str">
        <x:v>Passive repackage 2026-10-06 (hand-solder policy): was R_0603 using RC0603FR-07150KL. See reports/passive-repackage-2026-10-06.md. MPN not stock-checked unless an LCSC code with price is shown.</x:v>
      </x:c>
      <x:c r="S99" s="1" t="str">
        <x:v>https://www.lcsc.com/product-detail/C93947.html</x:v>
      </x:c>
    </x:row>
    <x:row r="100" ht="36" customHeight="1">
      <x:c r="A100" s="22" t="str">
        <x:v>R254</x:v>
      </x:c>
      <x:c r="B100" s="22" t="str">
        <x:v>82k 0402 hand-solder (R_0402_1005Metric)</x:v>
      </x:c>
      <x:c r="C100" s="22" t="str">
        <x:v>YAGEO</x:v>
      </x:c>
      <x:c r="D100" s="22" t="str">
        <x:v>AC0402FR-0782KL</x:v>
      </x:c>
      <x:c r="E100" s="22" t="str">
        <x:v>C144735</x:v>
      </x:c>
      <x:c r="F100" s="23" t="n">
        <x:v>1</x:v>
      </x:c>
      <x:c r="G100" s="13" t="n">
        <x:v>100</x:v>
      </x:c>
      <x:c r="H100" s="13" t="n">
        <x:v>100</x:v>
      </x:c>
      <x:c r="I100" s="14" t="n">
        <x:f>IF(OR(D100="",G100="",H100=""),"",IF(COUNTIF($D$11:D100,D100)&gt;1,0,ROUNDUP(MAX(SUMIF($D$11:$D$111,D100,$F$11:$F$111),G100)/H100,0)*H100))</x:f>
        <x:v>100</x:v>
      </x:c>
      <x:c r="J100" s="6" t="n">
        <x:v>100</x:v>
      </x:c>
      <x:c r="K100" s="28" t="n">
        <x:v>0.0047</x:v>
      </x:c>
      <x:c r="L100" s="30" t="n">
        <x:f>IF(K100="","",ROUND(F100*K100,4))</x:f>
        <x:v>0.0047</x:v>
      </x:c>
      <x:c r="M100" s="30" t="n">
        <x:f>IF(OR(K100="",I100="",N100=""),"",IF(N100&gt;=I100,ROUND(I100*K100,4),""))</x:f>
        <x:v>0.47</x:v>
      </x:c>
      <x:c r="N100" s="7" t="n">
        <x:v>35600</x:v>
      </x:c>
      <x:c r="O100" s="1" t="str">
        <x:v>In stock; coordinator-approved substitution 2026-10-10 (was RC0402FR-0782KL C137932); verified against LCSC listing C144735 (YAGEO AC0402FR-0782KL, 0402; 82kΩ, 50V, ±100ppm/℃, ±1%); LCSC stock 35600 at lookup vs order qty 100; price is the listed ladder at order qty; re-check at order.</x:v>
      </x:c>
      <x:c r="P100" s="4" t="n">
        <x:v>46305</x:v>
      </x:c>
      <x:c r="Q100" s="1" t="str">
        <x:v>2026-10-10</x:v>
      </x:c>
      <x:c r="R100" s="1" t="str">
        <x:v>Passive repackage 2026-10-06 (hand-solder policy): was R_0603 using RC0603FR-0782KL. See reports/passive-repackage-2026-10-06.md. SUBSTITUTION 2026-10-10 (coordinator-approved): RC0402FR-0782KL C137932 -&gt; AC0402FR-0782KL C144735. Original RC0402FR-0782KL stock 0 at lookup; same 82 kOhm 1% 0402 50 V 62.5 mW, 100 ppm (Yageo AC automotive grade).</x:v>
      </x:c>
      <x:c r="S100" s="1" t="str">
        <x:v>https://www.lcsc.com/product-detail/C144735.html</x:v>
      </x:c>
    </x:row>
    <x:row r="101" ht="36" customHeight="1">
      <x:c r="A101" s="22" t="str">
        <x:v>R12, R16, R17, R103, R107, R109, R110, R111, R113, R125, R142, R152, R153, R154, R160, R175, R176, R180, R181, R184, R211, R212, R220, R221, R222, R223, R224, R225, R234, R235, R236, R237, R238, R239, R255, R259</x:v>
      </x:c>
      <x:c r="B101" s="22" t="str">
        <x:v>100k 1% 0402 hand-solder (R_0402_1005Metric)</x:v>
      </x:c>
      <x:c r="C101" s="22" t="str">
        <x:v>Yageo</x:v>
      </x:c>
      <x:c r="D101" s="22" t="str">
        <x:v>RC0402FR-07100KL</x:v>
      </x:c>
      <x:c r="E101" s="22" t="str">
        <x:v>C60491</x:v>
      </x:c>
      <x:c r="F101" s="23" t="n">
        <x:v>36</x:v>
      </x:c>
      <x:c r="G101" s="13" t="n">
        <x:v>100</x:v>
      </x:c>
      <x:c r="H101" s="13" t="n">
        <x:v>100</x:v>
      </x:c>
      <x:c r="I101" s="14" t="n">
        <x:f>IF(OR(D101="",G101="",H101=""),"",IF(COUNTIF($D$11:D101,D101)&gt;1,0,ROUNDUP(MAX(SUMIF($D$11:$D$111,D101,$F$11:$F$111),G101)/H101,0)*H101))</x:f>
        <x:v>100</x:v>
      </x:c>
      <x:c r="J101" s="6" t="n">
        <x:v>100</x:v>
      </x:c>
      <x:c r="K101" s="28" t="n">
        <x:v>0.0023</x:v>
      </x:c>
      <x:c r="L101" s="30" t="n">
        <x:f>IF(K101="","",ROUND(F101*K101,4))</x:f>
        <x:v>0.0828</x:v>
      </x:c>
      <x:c r="M101" s="30" t="n">
        <x:f>IF(OR(K101="",I101="",N101=""),"",IF(N101&gt;=I101,ROUND(I101*K101,4),""))</x:f>
        <x:v>0.23</x:v>
      </x:c>
      <x:c r="N101" s="7" t="n">
        <x:v>8284000</x:v>
      </x:c>
      <x:c r="O101" s="1" t="str">
        <x:v>In stock; part/package/value verified 2026-10-10 against LCSC listing C60491 (YAGEO RC0402FR-07100KL, 0402); JLC extended; LCSC stock 8284000, JLC list stock 9019405 at lookup vs order qty 100; price is the listed ladder at order qty; re-check at order.</x:v>
      </x:c>
      <x:c r="P101" s="4" t="n">
        <x:v>46305</x:v>
      </x:c>
      <x:c r="Q101" s="1" t="str">
        <x:v>2026-10-10</x:v>
      </x:c>
      <x:c r="R101" s="1" t="str">
        <x:v>Passive repackage 2026-10-06 (hand-solder policy): was R_0603 using RC0603FR-07100KL. See reports/passive-repackage-2026-10-06.md. MPN not stock-checked unless an LCSC code with price is shown.</x:v>
      </x:c>
      <x:c r="S101" s="1" t="str">
        <x:v>https://www.lcsc.com/product-detail/C60491.html</x:v>
      </x:c>
    </x:row>
    <x:row r="102" ht="36" customHeight="1">
      <x:c r="A102" s="22" t="str">
        <x:v>(R256 DNP)</x:v>
      </x:c>
      <x:c r="B102" s="22" t="str">
        <x:v>0R DNP 0402 hand-solder (R_0402_1005Metric)</x:v>
      </x:c>
      <x:c r="C102" s="22" t="str">
        <x:v>Yageo</x:v>
      </x:c>
      <x:c r="D102" s="22" t="str">
        <x:v>RC0402FR-070RL</x:v>
      </x:c>
      <x:c r="E102" s="22" t="str">
        <x:v>C106231</x:v>
      </x:c>
      <x:c r="F102" s="23" t="n">
        <x:v>0</x:v>
      </x:c>
      <x:c r="G102" s="13" t="n">
        <x:v>100</x:v>
      </x:c>
      <x:c r="H102" s="13" t="n">
        <x:v>100</x:v>
      </x:c>
      <x:c r="I102" s="14" t="n">
        <x:f>IF(OR(D102="",G102="",H102=""),"",IF(COUNTIF($D$11:D102,D102)&gt;1,0,ROUNDUP(MAX(SUMIF($D$11:$D$111,D102,$F$11:$F$111),G102)/H102,0)*H102))</x:f>
        <x:v>100</x:v>
      </x:c>
      <x:c r="J102" s="6" t="n">
        <x:v>100</x:v>
      </x:c>
      <x:c r="K102" s="28" t="n">
        <x:v>0.0029</x:v>
      </x:c>
      <x:c r="L102" s="30" t="n">
        <x:f>IF(K102="","",ROUND(F102*K102,4))</x:f>
        <x:v>0</x:v>
      </x:c>
      <x:c r="M102" s="30" t="n">
        <x:f>IF(OR(K102="",I102="",N102=""),"",IF(N102&gt;=I102,ROUND(I102*K102,4),""))</x:f>
        <x:v>0.29</x:v>
      </x:c>
      <x:c r="N102" s="7" t="n">
        <x:v>89800</x:v>
      </x:c>
      <x:c r="O102" s="1" t="str">
        <x:v>In stock; part/package/value verified 2026-10-10 against LCSC listing C106231 (YAGEO RC0402FR-070RL, 0402); JLC extended; LCSC stock 89800, JLC list stock 234115 at lookup vs order qty 100; price is the listed ladder at order qty; re-check at order.</x:v>
      </x:c>
      <x:c r="P102" s="4" t="n">
        <x:v>46305</x:v>
      </x:c>
      <x:c r="Q102" s="1" t="str">
        <x:v>2026-10-10</x:v>
      </x:c>
      <x:c r="R102" s="1" t="str">
        <x:v>Passive repackage 2026-10-06 (hand-solder policy): was R_0603 using RC0603FR-070RL. See reports/passive-repackage-2026-10-06.md. MPN not stock-checked unless an LCSC code with price is shown. Low-risk BOM cut 2026-10-06: removed R260 (reports/bom-reduction-audit.md).</x:v>
      </x:c>
      <x:c r="S102" s="1" t="str">
        <x:v>https://www.lcsc.com/product-detail/C106231.html</x:v>
      </x:c>
    </x:row>
    <x:row r="103" ht="36" customHeight="1">
      <x:c r="A103" s="22" t="str">
        <x:v>R185, R186, R187, R226, R227, R228, R229, R230, R231, R240, R257, R258, R261</x:v>
      </x:c>
      <x:c r="B103" s="22" t="str">
        <x:v>1k 0402 hand-solder (R_0402_1005Metric)</x:v>
      </x:c>
      <x:c r="C103" s="22" t="str">
        <x:v>Yageo</x:v>
      </x:c>
      <x:c r="D103" s="22" t="str">
        <x:v>RC0402FR-071KL</x:v>
      </x:c>
      <x:c r="E103" s="22" t="str">
        <x:v>C106235</x:v>
      </x:c>
      <x:c r="F103" s="23" t="n">
        <x:v>13</x:v>
      </x:c>
      <x:c r="G103" s="13" t="n">
        <x:v>100</x:v>
      </x:c>
      <x:c r="H103" s="13" t="n">
        <x:v>100</x:v>
      </x:c>
      <x:c r="I103" s="14" t="n">
        <x:f>IF(OR(D103="",G103="",H103=""),"",IF(COUNTIF($D$11:D103,D103)&gt;1,0,ROUNDUP(MAX(SUMIF($D$11:$D$111,D103,$F$11:$F$111),G103)/H103,0)*H103))</x:f>
        <x:v>100</x:v>
      </x:c>
      <x:c r="J103" s="6" t="n">
        <x:v>100</x:v>
      </x:c>
      <x:c r="K103" s="28" t="n">
        <x:v>0.0038</x:v>
      </x:c>
      <x:c r="L103" s="30" t="n">
        <x:f>IF(K103="","",ROUND(F103*K103,4))</x:f>
        <x:v>0.0494</x:v>
      </x:c>
      <x:c r="M103" s="30" t="n">
        <x:f>IF(OR(K103="",I103="",N103=""),"",IF(N103&gt;=I103,ROUND(I103*K103,4),""))</x:f>
        <x:v>0.38</x:v>
      </x:c>
      <x:c r="N103" s="7" t="n">
        <x:v>1008600</x:v>
      </x:c>
      <x:c r="O103" s="1" t="str">
        <x:v>In stock; part/package/value verified 2026-10-10 against LCSC listing C106235 (YAGEO RC0402FR-071KL, 0402); JLC extended; LCSC stock 1008600, JLC list stock 2005830 at lookup vs order qty 100; price is the listed ladder at order qty; re-check at order.</x:v>
      </x:c>
      <x:c r="P103" s="4" t="n">
        <x:v>46305</x:v>
      </x:c>
      <x:c r="Q103" s="1" t="str">
        <x:v>2026-10-10</x:v>
      </x:c>
      <x:c r="R103" s="1" t="str">
        <x:v>Passive repackage 2026-10-06 (hand-solder policy): was R_0603 using RC0603FR-071KL. See reports/passive-repackage-2026-10-06.md. MPN not stock-checked unless an LCSC code with price is shown.</x:v>
      </x:c>
      <x:c r="S103" s="1" t="str">
        <x:v>https://www.lcsc.com/product-detail/C106235.html</x:v>
      </x:c>
    </x:row>
    <x:row r="104" ht="36" customHeight="1">
      <x:c r="A104" s="22" t="str">
        <x:v>R11, R13, R14, R15, R18, R106, R182, R183, R242, R243, R244, R262</x:v>
      </x:c>
      <x:c r="B104" s="22" t="str">
        <x:v>10k 1% 0402 hand-solder (R_0402_1005Metric)</x:v>
      </x:c>
      <x:c r="C104" s="22" t="str">
        <x:v>Yageo</x:v>
      </x:c>
      <x:c r="D104" s="22" t="str">
        <x:v>RC0402FR-0710KL</x:v>
      </x:c>
      <x:c r="E104" s="22" t="str">
        <x:v>C60490</x:v>
      </x:c>
      <x:c r="F104" s="23" t="n">
        <x:v>12</x:v>
      </x:c>
      <x:c r="G104" s="13" t="n">
        <x:v>100</x:v>
      </x:c>
      <x:c r="H104" s="13" t="n">
        <x:v>100</x:v>
      </x:c>
      <x:c r="I104" s="14" t="n">
        <x:f>IF(OR(D104="",G104="",H104=""),"",IF(COUNTIF($D$11:D104,D104)&gt;1,0,ROUNDUP(MAX(SUMIF($D$11:$D$111,D104,$F$11:$F$111),G104)/H104,0)*H104))</x:f>
        <x:v>100</x:v>
      </x:c>
      <x:c r="J104" s="6" t="n">
        <x:v>100</x:v>
      </x:c>
      <x:c r="K104" s="28" t="n">
        <x:v>0.0023</x:v>
      </x:c>
      <x:c r="L104" s="30" t="n">
        <x:f>IF(K104="","",ROUND(F104*K104,4))</x:f>
        <x:v>0.0276</x:v>
      </x:c>
      <x:c r="M104" s="30" t="n">
        <x:f>IF(OR(K104="",I104="",N104=""),"",IF(N104&gt;=I104,ROUND(I104*K104,4),""))</x:f>
        <x:v>0.23</x:v>
      </x:c>
      <x:c r="N104" s="7" t="n">
        <x:v>4124600</x:v>
      </x:c>
      <x:c r="O104" s="1" t="str">
        <x:v>In stock; part/package/value verified 2026-10-10 against LCSC listing C60490 (YAGEO RC0402FR-0710KL, 0402); JLC extended; LCSC stock 4124600, JLC list stock 9332103 at lookup vs order qty 100; price is the listed ladder at order qty; re-check at order.</x:v>
      </x:c>
      <x:c r="P104" s="4" t="n">
        <x:v>46305</x:v>
      </x:c>
      <x:c r="Q104" s="1" t="str">
        <x:v>2026-10-10</x:v>
      </x:c>
      <x:c r="R104" s="1" t="str">
        <x:v>Passive repackage 2026-10-06 (hand-solder policy): was R_0603 using RC0603FR-0710KL. See reports/passive-repackage-2026-10-06.md. MPN not stock-checked unless an LCSC code with price is shown.</x:v>
      </x:c>
      <x:c r="S104" s="1" t="str">
        <x:v>https://www.lcsc.com/product-detail/C60490.html</x:v>
      </x:c>
    </x:row>
    <x:row r="105" ht="36" customHeight="1">
      <x:c r="A105" s="22" t="str">
        <x:v>SW102</x:v>
      </x:c>
      <x:c r="B105" s="22" t="str">
        <x:v>Rotary encoder with push switch (vertical, 20 mm shaft)</x:v>
      </x:c>
      <x:c r="C105" s="22" t="str">
        <x:v>Alps Alpine</x:v>
      </x:c>
      <x:c r="D105" s="22" t="str">
        <x:v>EC11E18244AU</x:v>
      </x:c>
      <x:c r="E105" s="22" t="str">
        <x:v>C202365</x:v>
      </x:c>
      <x:c r="F105" s="23" t="n">
        <x:v>1</x:v>
      </x:c>
      <x:c r="G105" s="13" t="n">
        <x:v>1</x:v>
      </x:c>
      <x:c r="H105" s="13" t="n">
        <x:v>1</x:v>
      </x:c>
      <x:c r="I105" s="14" t="n">
        <x:f>IF(OR(D105="",G105="",H105=""),"",IF(COUNTIF($D$11:D105,D105)&gt;1,0,ROUNDUP(MAX(SUMIF($D$11:$D$111,D105,$F$11:$F$111),G105)/H105,0)*H105))</x:f>
        <x:v>1</x:v>
      </x:c>
      <x:c r="J105" s="6" t="n">
        <x:v>1</x:v>
      </x:c>
      <x:c r="K105" s="28" t="n">
        <x:v>2.2213</x:v>
      </x:c>
      <x:c r="L105" s="30" t="n">
        <x:v>2.2213</x:v>
      </x:c>
      <x:c r="M105" s="30" t="n">
        <x:f>IF(OR(K105="",I105="",N105=""),"",IF(N105&gt;=I105,ROUND(I105*K105,4),""))</x:f>
        <x:v>2.2213</x:v>
      </x:c>
      <x:c r="N105" s="7" t="n">
        <x:v>398</x:v>
      </x:c>
      <x:c r="O105" s="1" t="str">
        <x:v>In stock (398 at 2026-10-12); substitute for EC11E15244G1 (C370970, stock 0): same EC11E vertical body, 20 mm flat shaft, push switch 0.5 mm travel, 18/36 pulses/detents instead of 15/30 (firmware counts per detent unchanged); footprint equivalence by series, body drawing not re-read; see reports/sourcing-2026-10-12.md</x:v>
      </x:c>
      <x:c r="P105" s="4" t="n">
        <x:v>46305</x:v>
      </x:c>
      <x:c r="Q105" s="1" t="str">
        <x:v>2026-10-12</x:v>
      </x:c>
      <x:c r="R105" s="1" t="str">
        <x:v>Substituted 2026-10-12 (coordinator, self-approved). Previous: EC11E15244G1 C370970, stock 0.</x:v>
      </x:c>
      <x:c r="S105" s="1" t="str">
        <x:v>https://www.lcsc.com/product-detail/C202365.html</x:v>
      </x:c>
    </x:row>
    <x:row r="106" ht="36" customHeight="1">
      <x:c r="A106" s="22" t="str">
        <x:v>C308, C309, C310</x:v>
      </x:c>
      <x:c r="B106" s="22" t="str">
        <x:v>10nF 0402 hand-solder (C_0402_1005Metric) encoder debounce</x:v>
      </x:c>
      <x:c r="C106" s="22" t="str">
        <x:v>Murata</x:v>
      </x:c>
      <x:c r="D106" s="22" t="str">
        <x:v>GRM155R71H103KA88D</x:v>
      </x:c>
      <x:c r="E106" s="22" t="str">
        <x:v>C77019</x:v>
      </x:c>
      <x:c r="F106" s="23" t="n">
        <x:v>3</x:v>
      </x:c>
      <x:c r="G106" s="13" t="n">
        <x:v>50</x:v>
      </x:c>
      <x:c r="H106" s="13" t="n">
        <x:v>50</x:v>
      </x:c>
      <x:c r="I106" s="14" t="n">
        <x:f>IF(OR(D106="",G106="",H106=""),"",IF(COUNTIF($D$11:D106,D106)&gt;1,0,ROUNDUP(MAX(SUMIF($D$11:$D$111,D106,$F$11:$F$111),G106)/H106,0)*H106))</x:f>
        <x:v>50</x:v>
      </x:c>
      <x:c r="J106" s="6" t="n">
        <x:v>50</x:v>
      </x:c>
      <x:c r="K106" s="28" t="n">
        <x:v>0.0099</x:v>
      </x:c>
      <x:c r="L106" s="30" t="n">
        <x:f>IF(K106="","",ROUND(F106*K106,4))</x:f>
        <x:v>0.0297</x:v>
      </x:c>
      <x:c r="M106" s="30" t="n">
        <x:f>IF(OR(K106="",I106="",N106=""),"",IF(N106&gt;=I106,ROUND(I106*K106,4),""))</x:f>
        <x:v>0.495</x:v>
      </x:c>
      <x:c r="N106" s="7" t="n">
        <x:v>274950</x:v>
      </x:c>
      <x:c r="O106" s="1" t="str">
        <x:v>In stock; part/package/value verified 2026-10-10 against LCSC listing C77019 (muRata GRM155R71H103KA88D, 0402); JLC extended; LCSC stock 274950, JLC list stock 331295 at lookup vs order qty 50; price is the listed ladder at order qty; re-check at order.</x:v>
      </x:c>
      <x:c r="P106" s="4" t="n">
        <x:v>46305</x:v>
      </x:c>
      <x:c r="Q106" s="1" t="str">
        <x:v>2026-10-10</x:v>
      </x:c>
      <x:c r="R106" s="1"/>
      <x:c r="S106" s="1" t="str">
        <x:v>https://www.lcsc.com/product-detail/C77019.html</x:v>
      </x:c>
    </x:row>
    <x:row r="107" ht="36" customHeight="1">
      <x:c r="A107" s="22" t="str">
        <x:v>TP1-TP25</x:v>
      </x:c>
      <x:c r="B107" s="22" t="str">
        <x:v>test points: 22 rail/signal Keystone 5015 SMD loops (TP1-TP22), 3 GND Keystone 5010-5014 THT loops (TP23-TP25)</x:v>
      </x:c>
      <x:c r="C107" s="22" t="str">
        <x:v>Keystone</x:v>
      </x:c>
      <x:c r="D107" s="22" t="str">
        <x:v>5015 / 5010</x:v>
      </x:c>
      <x:c r="E107" s="22"/>
      <x:c r="F107" s="23" t="n">
        <x:v>25</x:v>
      </x:c>
      <x:c r="G107" s="13"/>
      <x:c r="H107" s="13"/>
      <x:c r="I107" s="14" t="str">
        <x:f>IF(OR(D107="",G107="",H107=""),"",IF(COUNTIF($D$11:D107,D107)&gt;1,0,ROUNDUP(MAX(SUMIF($D$11:$D$111,D107,$F$11:$F$111),G107)/H107,0)*H107))</x:f>
      </x:c>
      <x:c r="J107" s="6"/>
      <x:c r="K107" s="28"/>
      <x:c r="L107" s="30" t="str">
        <x:f>IF(K107="","",ROUND(F107*K107,4))</x:f>
      </x:c>
      <x:c r="M107" s="30" t="str">
        <x:f>IF(OR(K107="",I107="",N107=""),"",IF(N107&gt;=I107,ROUND(I107*K107,4),""))</x:f>
      </x:c>
      <x:c r="N107" s="7"/>
      <x:c r="O107" s="1" t="str">
        <x:v>Excluded from per-part BOM (in_bom no); hand-fitted loops; LCSC/price unverified</x:v>
      </x:c>
      <x:c r="P107" s="4" t="n">
        <x:v>46300</x:v>
      </x:c>
      <x:c r="Q107" s="1" t="str">
        <x:v>2026-10-06</x:v>
      </x:c>
      <x:c r="R107" s="1"/>
      <x:c r="S107" s="1"/>
    </x:row>
    <x:row r="108" ht="36" customHeight="1">
      <x:c r="A108" s="22" t="str">
        <x:v>C311, C312, C313, C314</x:v>
      </x:c>
      <x:c r="B108" s="22" t="str">
        <x:v>100nF X7R 0402 hand-solder (C_0402_1005Metric) HF bypass: U4 SYS, PMID, VBUS; U25 VOUT</x:v>
      </x:c>
      <x:c r="C108" s="22" t="str">
        <x:v>Murata</x:v>
      </x:c>
      <x:c r="D108" s="22" t="str">
        <x:v>GRM155R71H104KE14D</x:v>
      </x:c>
      <x:c r="E108" s="22" t="str">
        <x:v>C77020</x:v>
      </x:c>
      <x:c r="F108" s="23" t="n">
        <x:v>4</x:v>
      </x:c>
      <x:c r="G108" s="13" t="n">
        <x:v>100</x:v>
      </x:c>
      <x:c r="H108" s="13" t="n">
        <x:v>100</x:v>
      </x:c>
      <x:c r="I108" s="14" t="n">
        <x:f>IF(OR(D108="",G108="",H108=""),"",IF(COUNTIF($D$11:D108,D108)&gt;1,0,ROUNDUP(MAX(SUMIF($D$11:$D$111,D108,$F$11:$F$111),G108)/H108,0)*H108))</x:f>
        <x:v>0</x:v>
      </x:c>
      <x:c r="J108" s="6" t="n">
        <x:v>100</x:v>
      </x:c>
      <x:c r="K108" s="28" t="n">
        <x:v>0.007</x:v>
      </x:c>
      <x:c r="L108" s="30" t="n">
        <x:f>IF(K108="","",ROUND(F108*K108,4))</x:f>
        <x:v>0.028</x:v>
      </x:c>
      <x:c r="M108" s="30" t="str">
        <x:f>IF(OR(K108="",I108="",N108=""),"",IF(N108&gt;=I108,ROUND(I108*K108,4),""))</x:f>
      </x:c>
      <x:c r="N108" s="7" t="n">
        <x:v>10000</x:v>
      </x:c>
      <x:c r="O108" s="1" t="str">
        <x:v>In stock; part/package/value verified 2026-10-10 against LCSC listing C77020 (muRata GRM155R71H104KE14D, 0402); JLC extended; LCSC stock 10000, JLC list stock 1611701 at lookup vs order qty 100; price is the listed ladder at order qty; re-check at order.</x:v>
      </x:c>
      <x:c r="P108" s="4" t="n">
        <x:v>46305</x:v>
      </x:c>
      <x:c r="Q108" s="1" t="str">
        <x:v>2026-10-10</x:v>
      </x:c>
      <x:c r="R108" s="1" t="str">
        <x:v>Added 2026-10-08 for PCB placeholders CPH1-CPH4; stock/price unverified, not in subtotal</x:v>
      </x:c>
      <x:c r="S108" s="1" t="str">
        <x:v>https://www.lcsc.com/product-detail/C77020.html</x:v>
      </x:c>
    </x:row>
    <x:row r="109" ht="36" customHeight="1">
      <x:c r="A109" s="22" t="str">
        <x:v>C315</x:v>
      </x:c>
      <x:c r="B109" s="22" t="str">
        <x:v>47uF 25V 1206 PPHV bulk (U11); TPS25730 CPPHV 47uF nominal, 100uF max</x:v>
      </x:c>
      <x:c r="C109" s="22" t="str">
        <x:v>Murata</x:v>
      </x:c>
      <x:c r="D109" s="22" t="str">
        <x:v>GRM31CR61E476ME44L</x:v>
      </x:c>
      <x:c r="E109" s="22" t="str">
        <x:v>C403725</x:v>
      </x:c>
      <x:c r="F109" s="23" t="n">
        <x:v>1</x:v>
      </x:c>
      <x:c r="G109" s="13" t="n">
        <x:v>1</x:v>
      </x:c>
      <x:c r="H109" s="13" t="n">
        <x:v>1</x:v>
      </x:c>
      <x:c r="I109" s="14" t="n">
        <x:f>IF(OR(D109="",G109="",H109=""),"",IF(COUNTIF($D$11:D109,D109)&gt;1,0,ROUNDUP(MAX(SUMIF($D$11:$D$111,D109,$F$11:$F$111),G109)/H109,0)*H109))</x:f>
        <x:v>1</x:v>
      </x:c>
      <x:c r="J109" s="6" t="n">
        <x:v>1</x:v>
      </x:c>
      <x:c r="K109" s="28" t="n">
        <x:v>0.6136</x:v>
      </x:c>
      <x:c r="L109" s="30" t="n">
        <x:f>IF(K109="","",ROUND(F109*K109,4))</x:f>
        <x:v>0.6136</x:v>
      </x:c>
      <x:c r="M109" s="30" t="n">
        <x:f>IF(OR(K109="",I109="",N109=""),"",IF(N109&gt;=I109,ROUND(I109*K109,4),""))</x:f>
        <x:v>0.6136</x:v>
      </x:c>
      <x:c r="N109" s="7" t="n">
        <x:v>22231</x:v>
      </x:c>
      <x:c r="O109" s="1" t="str">
        <x:v>In stock; part/package/value verified 2026-10-10 against LCSC listing C403725 (muRata GRM31CR61E476ME44L, 1206); JLC extended; LCSC stock 22231, JLC list stock 92430 at lookup vs order qty 1; price is the listed ladder at order qty; re-check at order.</x:v>
      </x:c>
      <x:c r="P109" s="4" t="n">
        <x:v>46305</x:v>
      </x:c>
      <x:c r="Q109" s="1" t="str">
        <x:v>2026-10-10</x:v>
      </x:c>
      <x:c r="R109" s="1" t="str">
        <x:v>Added 2026-10-08 (placeholder CPH5). MPN not verified; 25V X5R loses most capacitance at 20V bias, qualify effective value; stock/price unverified</x:v>
      </x:c>
      <x:c r="S109" s="1" t="str">
        <x:v>https://www.lcsc.com/product-detail/C403725.html</x:v>
      </x:c>
    </x:row>
    <x:row r="110" ht="36" customHeight="1">
      <x:c r="A110" s="22" t="str">
        <x:v>C316</x:v>
      </x:c>
      <x:c r="B110" s="22" t="str">
        <x:v>1uF X7R 50V 0805 U19 input (second cap; C184 is the first)</x:v>
      </x:c>
      <x:c r="C110" s="22" t="str">
        <x:v>Samsung Electro-Mechanics</x:v>
      </x:c>
      <x:c r="D110" s="22" t="str">
        <x:v>CL21B105KBFNNNE</x:v>
      </x:c>
      <x:c r="E110" s="22" t="str">
        <x:v>C28323</x:v>
      </x:c>
      <x:c r="F110" s="23" t="n">
        <x:v>1</x:v>
      </x:c>
      <x:c r="G110" s="13" t="n">
        <x:v>10</x:v>
      </x:c>
      <x:c r="H110" s="13" t="n">
        <x:v>10</x:v>
      </x:c>
      <x:c r="I110" s="14" t="n">
        <x:f>IF(OR(D110="",G110="",H110=""),"",IF(COUNTIF($D$11:D110,D110)&gt;1,0,ROUNDUP(MAX(SUMIF($D$11:$D$111,D110,$F$11:$F$111),G110)/H110,0)*H110))</x:f>
        <x:v>0</x:v>
      </x:c>
      <x:c r="J110" s="6" t="n">
        <x:v>10</x:v>
      </x:c>
      <x:c r="K110" s="28" t="n">
        <x:v>0.0403</x:v>
      </x:c>
      <x:c r="L110" s="30" t="n">
        <x:f>IF(K110="","",ROUND(F110*K110,4))</x:f>
        <x:v>0.0403</x:v>
      </x:c>
      <x:c r="M110" s="30" t="str">
        <x:f>IF(OR(K110="",I110="",N110=""),"",IF(N110&gt;=I110,ROUND(I110*K110,4),""))</x:f>
      </x:c>
      <x:c r="N110" s="7" t="n">
        <x:v>10</x:v>
      </x:c>
      <x:c r="O110" s="1" t="str">
        <x:v>In stock; part/package/value verified 2026-10-10 against LCSC listing C28323 (Samsung Electro-Mechanics CL21B105KBFNNNE, 0805); JLC basic; LCSC stock 10, JLC list stock 1892310 at lookup vs order qty 10; price is the listed ladder at order qty; re-check at order.</x:v>
      </x:c>
      <x:c r="P110" s="4" t="n">
        <x:v>46305</x:v>
      </x:c>
      <x:c r="Q110" s="1" t="str">
        <x:v>2026-10-10</x:v>
      </x:c>
      <x:c r="R110" s="1" t="str">
        <x:v>Added 2026-10-08 (placeholder CPH6; board placeholder was 0402, schematic uses 0805 like C184); not in subtotal</x:v>
      </x:c>
      <x:c r="S110" s="1" t="str">
        <x:v>https://www.lcsc.com/product-detail/C28323.html</x:v>
      </x:c>
    </x:row>
    <x:row r="111" ht="36" customHeight="1">
      <x:c r="A111" s="22" t="str">
        <x:v>TP26-TP27</x:v>
      </x:c>
      <x:c r="B111" s="22" t="str">
        <x:v>GND test points: Keystone 5010-5014 THT loops</x:v>
      </x:c>
      <x:c r="C111" s="22" t="str">
        <x:v>Keystone</x:v>
      </x:c>
      <x:c r="D111" s="22" t="str">
        <x:v>5010</x:v>
      </x:c>
      <x:c r="E111" s="22"/>
      <x:c r="F111" s="23" t="n">
        <x:v>2</x:v>
      </x:c>
      <x:c r="G111" s="13"/>
      <x:c r="H111" s="13"/>
      <x:c r="I111" s="14" t="str">
        <x:f>IF(OR(D111="",G111="",H111=""),"",IF(COUNTIF($D$11:D111,D111)&gt;1,0,ROUNDUP(MAX(SUMIF($D$11:$D$111,D111,$F$11:$F$111),G111)/H111,0)*H111))</x:f>
      </x:c>
      <x:c r="J111" s="6"/>
      <x:c r="K111" s="28"/>
      <x:c r="L111" s="30" t="str">
        <x:f>IF(K111="","",ROUND(F111*K111,4))</x:f>
      </x:c>
      <x:c r="M111" s="30" t="str">
        <x:f>IF(OR(K111="",I111="",N111=""),"",IF(N111&gt;=I111,ROUND(I111*K111,4),""))</x:f>
      </x:c>
      <x:c r="N111" s="7"/>
      <x:c r="O111" s="1" t="str">
        <x:v>Excluded from per-part BOM (in_bom no)</x:v>
      </x:c>
      <x:c r="P111" s="4"/>
      <x:c r="Q111" s="1"/>
      <x:c r="R111" s="1" t="str">
        <x:v>Added 2026-10-08 (placeholders TPG1, TPG2); hand-fitted loops</x:v>
      </x:c>
      <x:c r="S11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16" hidden="0" customWidth="1"/>
    <x:col min="4" max="4" width="24" hidden="0" customWidth="1"/>
    <x:col min="5" max="5" width="53" hidden="0" customWidth="1"/>
    <x:col min="6" max="6" width="18" hidden="0" customWidth="1"/>
    <x:col min="7" max="7" width="3" hidden="0" customWidth="1"/>
    <x:col min="8" max="8" width="8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4" customHeight="1">
      <x:c r="A2" s="2" t="str">
        <x:v>Open selections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4" customHeight="1">
      <x:c r="A4" s="1" t="str">
        <x:v>Candidate parts and unresolved stages are excluded from selected quantities and subtotals.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36" customHeight="1">
      <x:c r="A6" s="12" t="str">
        <x:v>Function</x:v>
      </x:c>
      <x:c r="B6" s="12" t="str">
        <x:v>Candidate MPN</x:v>
      </x:c>
      <x:c r="C6" s="12" t="str">
        <x:v>LCSC part</x:v>
      </x:c>
      <x:c r="D6" s="12" t="str">
        <x:v>Selection status</x:v>
      </x:c>
      <x:c r="E6" s="12" t="str">
        <x:v>Required decision</x:v>
      </x:c>
      <x:c r="F6" s="12" t="str">
        <x:v>Reference USD</x:v>
      </x:c>
      <x:c r="G6" s="1"/>
      <x:c r="H6" s="1" t="str">
        <x:v>LCSC source URL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4" customHeight="1">
      <x:c r="A7" s="1" t="str">
        <x:v>Line-input ADC</x:v>
      </x:c>
      <x:c r="B7" s="1" t="str">
        <x:v>PCM1862DBTR</x:v>
      </x:c>
      <x:c r="C7" s="1" t="str">
        <x:v>C544647</x:v>
      </x:c>
      <x:c r="D7" s="1" t="str">
        <x:v>Candidate</x:v>
      </x:c>
      <x:c r="E7" s="1" t="str">
        <x:v>Confirm architecture, power and audio interface.</x:v>
      </x:c>
      <x:c r="F7" s="5"/>
      <x:c r="G7" s="1"/>
      <x:c r="H7" s="1" t="str">
        <x:v>https://www.lcsc.com/product-detail/C544647.html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4" customHeight="1">
      <x:c r="A8" s="1" t="str">
        <x:v>Amplifier boost supply</x:v>
      </x:c>
      <x:c r="B8" s="1" t="str">
        <x:v>TPS61088RHLR</x:v>
      </x:c>
      <x:c r="C8" s="1" t="str">
        <x:v>C87357</x:v>
      </x:c>
      <x:c r="D8" s="1" t="str">
        <x:v>Candidate</x:v>
      </x:c>
      <x:c r="E8" s="1" t="str">
        <x:v>Set output voltage and power budget.</x:v>
      </x:c>
      <x:c r="F8" s="5"/>
      <x:c r="G8" s="1"/>
      <x:c r="H8" s="1" t="str">
        <x:v>https://www.lcsc.com/product-detail/C87357.html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24" customHeight="1">
      <x:c r="A9" s="1" t="str">
        <x:v>Remaining power passive/header/switch selections</x:v>
      </x:c>
      <x:c r="B9" s="1"/>
      <x:c r="C9" s="1"/>
      <x:c r="D9" s="1" t="str">
        <x:v>Partial</x:v>
      </x:c>
      <x:c r="E9" s="1" t="str">
        <x:v>D4 and C103 selected; headers, switches and effective-capacitance qualification remain open.</x:v>
      </x:c>
      <x:c r="F9" s="5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 ht="24" customHeight="1">
      <x:c r="A10" s="1" t="str">
        <x:v>USB PD NVM profile</x:v>
      </x:c>
      <x:c r="B10" s="1"/>
      <x:c r="C10" s="1"/>
      <x:c r="D10" s="1" t="str">
        <x:v>Open</x:v>
      </x:c>
      <x:c r="E10" s="1" t="str">
        <x:v>Program/read back 5 V and 9 V only; source/current policy remains open.</x:v>
      </x:c>
      <x:c r="F10" s="5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</x:row>
    <x:row r="11" ht="60" customHeight="1">
      <x:c r="A11" s="18" t="str">
        <x:v>USB PD controller VDD source LDO</x:v>
      </x:c>
      <x:c r="B11" s="18" t="str">
        <x:v>TPS7B8450QWDRBRQ1</x:v>
      </x:c>
      <x:c r="C11" s="18" t="str">
        <x:v>C3751394</x:v>
      </x:c>
      <x:c r="D11" s="18" t="str">
        <x:v>Selected; qualification open</x:v>
      </x:c>
      <x:c r="E11" s="18" t="str">
        <x:v>U19 supplies nominal 5V from raw PD VBUS. Verify surge/transient coordination, dropout at low 5V input, thermal dissipation, and C5 effective capacitance versus TI minimum.</x:v>
      </x:c>
      <x:c r="F11" s="5"/>
      <x:c r="G11" s="1"/>
      <x:c r="H11" s="1" t="str">
        <x:v>https://www.lcsc.com/product-detail/C3751394.html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</x:row>
    <x:row r="12" ht="24" customHeight="1">
      <x:c r="A12" s="1" t="str">
        <x:v>Bluetooth load isolation</x:v>
      </x:c>
      <x:c r="B12" s="1" t="str">
        <x:v>BM83 downstream signal isolation and shutdown sequencing remain open; regulator captured.</x:v>
      </x:c>
      <x:c r="C12" s="1"/>
      <x:c r="D12" s="1" t="str">
        <x:v>TBD</x:v>
      </x:c>
      <x:c r="E12" s="1" t="str">
        <x:v>Resolve isolation/load switching.</x:v>
      </x:c>
      <x:c r="F12" s="5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</x:row>
    <x:row r="13" ht="24" customHeight="1">
      <x:c r="A13" s="1" t="str">
        <x:v>Protected 1S pack and harness</x:v>
      </x:c>
      <x:c r="B13" s="1"/>
      <x:c r="C13" s="1"/>
      <x:c r="D13" s="1" t="str">
        <x:v>TBD</x:v>
      </x:c>
      <x:c r="E13" s="1" t="str">
        <x:v>Select capacity, current ratings, exact 10k NTC curve and matching connector lead.</x:v>
      </x:c>
      <x:c r="F13" s="5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</x:row>
    <x:row r="14" ht="24" customHeight="1">
      <x:c r="A14" s="1" t="str">
        <x:v>Crystals / clocks / passives</x:v>
      </x:c>
      <x:c r="B14" s="1"/>
      <x:c r="C14" s="1"/>
      <x:c r="D14" s="1" t="str">
        <x:v>TBD</x:v>
      </x:c>
      <x:c r="E14" s="1" t="str">
        <x:v>Complete clock, decoupling, bias and filter parts.</x:v>
      </x:c>
      <x:c r="F14" s="5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</x:row>
    <x:row r="15" ht="24" customHeight="1">
      <x:c r="A15" s="1" t="str">
        <x:v>Speakers</x:v>
      </x:c>
      <x:c r="B15" s="1"/>
      <x:c r="C15" s="1"/>
      <x:c r="D15" s="1" t="str">
        <x:v>TBD</x:v>
      </x:c>
      <x:c r="E15" s="1" t="str">
        <x:v>Select drivers, impedance and ratings.</x:v>
      </x:c>
      <x:c r="F15" s="5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</x:row>
    <x:row r="16" ht="30" customHeight="1">
      <x:c r="A16" s="1" t="str">
        <x:v>PMID capacitor qualification</x:v>
      </x:c>
      <x:c r="B16" s="1" t="str">
        <x:v>CL32B226KAJNNNE</x:v>
      </x:c>
      <x:c r="C16" s="1" t="str">
        <x:v>C309062</x:v>
      </x:c>
      <x:c r="D16" s="18" t="str">
        <x:v>Selected; qualification open</x:v>
      </x:c>
      <x:c r="E16" s="1" t="str">
        <x:v>C101/C108 now in BOM. Typical9V estimate17.60uF with tolerance/temp factors; not guaranteed.</x:v>
      </x:c>
      <x:c r="F16" s="1"/>
      <x:c r="G16" s="1"/>
      <x:c r="H16" s="1" t="str">
        <x:v>https://www.lcsc.com/product-detail/C309062.html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4" customHeight="1">
      <x:c r="A18" s="1" t="str">
        <x:v>D1 uses stocked TI TPD2E2U06DRLR C1972959. Earlier TPD2EUSB30 variants showed out of stock.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4" customHeight="1">
      <x:c r="A19" s="1" t="str">
        <x:v>Other candidate prices and quantities remain blank until parts are finalized.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</x:sheetData>
  <x:pageMargins left="0.7" right="0.7" top="0.75" bottom="0.75" header="0.3" footer="0.3"/>
</x:worksheet>
</file>