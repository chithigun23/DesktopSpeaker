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8adbc2b79744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lected BOM" sheetId="1" r:id="R251dda92d91f4db7"/>
    <x:sheet xmlns:r="http://schemas.openxmlformats.org/officeDocument/2006/relationships" name="Open selections" sheetId="2" r:id="R31fc1f4fda48428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&quot;$&quot;0.00"/>
    <x:numFmt numFmtId="201" formatCode="yyyy-mm-dd"/>
    <x:numFmt numFmtId="202" formatCode="&quot;$&quot;0.0000"/>
    <x:numFmt numFmtId="203" formatCode="0"/>
    <x:numFmt numFmtId="204" formatCode="#,##0"/>
    <x:numFmt numFmtId="205" formatCode="$0.0000"/>
    <x:numFmt numFmtId="206" formatCode="$0.00"/>
  </x:numFmts>
  <x:fonts count="5">
    <x:font>
      <x:sz val="11"/>
      <x:name val="Carlito"/>
    </x:font>
    <x:font>
      <x:sz val="11"/>
      <x:color rgb="FF172B4D"/>
      <x:name val="Arial"/>
    </x:font>
    <x:font>
      <x:b/>
      <x:sz val="18"/>
      <x:color rgb="FF172B4D"/>
      <x:name val="Arial"/>
    </x:font>
    <x:font>
      <x:b/>
      <x:sz val="11"/>
      <x:color rgb="FF172B4D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DF2FA"/>
      </x:patternFill>
    </x:fill>
    <x:fill>
      <x:patternFill patternType="solid">
        <x:fgColor rgb="FFF2F2F2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203" fontId="1" fillId="3" borderId="0" xfId="0" applyNumberFormat="1" applyFont="1" applyFill="1" applyBorder="1"/>
    <x:xf numFmtId="203" fontId="1" fillId="4" borderId="0" xfId="0" applyNumberFormat="1" applyFont="1" applyFill="1" applyBorder="1"/>
    <x:xf numFmtId="200" fontId="1" fillId="4" borderId="0" xfId="0" applyNumberFormat="1" applyFont="1" applyFill="1" applyBorder="1"/>
    <x:xf numFmtId="201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3" fontId="1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1" fillId="0" borderId="0" xfId="0" applyNumberFormat="1" applyFont="1" applyFill="1" applyBorder="1"/>
    <x:xf numFmtId="205" fontId="1" fillId="4" borderId="0" xfId="0" applyNumberFormat="1" applyFont="1" applyFill="1" applyBorder="1"/>
    <x:xf numFmtId="206" fontId="1" fillId="4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79ebdcf90c4aec" /><Relationship Type="http://schemas.openxmlformats.org/officeDocument/2006/relationships/theme" Target="/xl/theme/theme1.xml" Id="Rb4055b22a5bf4644" /><Relationship Type="http://schemas.openxmlformats.org/officeDocument/2006/relationships/sharedStrings" Target="/xl/sharedStrings.xml" Id="R73f332b4a6944e8a" /><Relationship Type="http://schemas.openxmlformats.org/officeDocument/2006/relationships/worksheet" Target="/xl/worksheets/sheet1.xml" Id="R251dda92d91f4db7" /><Relationship Type="http://schemas.openxmlformats.org/officeDocument/2006/relationships/worksheet" Target="/xl/worksheets/sheet2.xml" Id="R31fc1f4fda48428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3" hidden="0" customWidth="1"/>
    <x:col min="4" max="4" width="24" hidden="0" customWidth="1"/>
    <x:col min="5" max="5" width="16" hidden="0" customWidth="1"/>
    <x:col min="6" max="6" width="10" hidden="0" customWidth="1"/>
    <x:col min="7" max="7" width="8" hidden="0" customWidth="1"/>
    <x:col min="8" max="8" width="10" hidden="0" customWidth="1"/>
    <x:col min="9" max="9" width="11" hidden="0" customWidth="1"/>
    <x:col min="10" max="10" width="11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6" hidden="0" customWidth="1"/>
    <x:col min="16" max="16" width="15" hidden="0" customWidth="1"/>
    <x:col min="17" max="17" width="16" hidden="0" customWidth="1"/>
    <x:col min="18" max="18" width="3" hidden="0" customWidth="1"/>
    <x:col min="19" max="19" width="96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DesktopSpeaker starter LCSC BOM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Selected fitted estimate (USD)</x:v>
      </x:c>
      <x:c r="B4" s="1"/>
      <x:c r="C4" s="1"/>
      <x:c r="D4" s="1"/>
      <x:c r="E4" s="3" t="n">
        <x:f>ROUND(SUM(L11:L78),2)</x:f>
        <x:v>68.9</x:v>
      </x:c>
      <x:c r="F4" s="1"/>
      <x:c r="G4" s="1" t="str">
        <x:v>BOM updated 2026-10-05: TPS25730D USB_PD and BQ25792 charger integrated; stock/prices are listing snapshots or marked unverified.</x:v>
      </x:c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 t="str">
        <x:v>In-stock order subtotal (USD)</x:v>
      </x:c>
      <x:c r="B5" s="1"/>
      <x:c r="C5" s="1"/>
      <x:c r="D5" s="1"/>
      <x:c r="E5" s="3" t="n">
        <x:f>ROUND(SUM(M11:M78),2)</x:f>
        <x:v>85.55</x:v>
      </x:c>
      <x:c r="F5" s="1"/>
      <x:c r="G5" s="1" t="str">
        <x:v>MOQ orders consolidated by MPN; repeat rows show order quantity 0.</x:v>
      </x:c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4" customHeight="1">
      <x:c r="A6" s="1" t="str">
        <x:v>Full BOM cost</x:v>
      </x:c>
      <x:c r="B6" s="1"/>
      <x:c r="C6" s="1"/>
      <x:c r="D6" s="1"/>
      <x:c r="E6" s="1" t="str">
        <x:v>Incomplete</x:v>
      </x:c>
      <x:c r="F6" s="1"/>
      <x:c r="G6" s="1" t="str">
        <x:v>Partial subtotal excludes unpriced parts, unverified stock, pack, switches, speakers and open audio selections; not full product cost.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Scope</x:v>
      </x:c>
      <x:c r="B7" s="1"/>
      <x:c r="C7" s="1"/>
      <x:c r="D7" s="1"/>
      <x:c r="E7" s="1" t="str">
        <x:v>1 assembly</x:v>
      </x:c>
      <x:c r="F7" s="1"/>
      <x:c r="G7" s="1" t="str">
        <x:v>Latest schematic defines references. Older SVG diagrams may differ from imported parts.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/>
      <x:c r="B8" s="1"/>
      <x:c r="C8" s="1"/>
      <x:c r="D8" s="1"/>
      <x:c r="E8" s="1"/>
      <x:c r="F8" s="1"/>
      <x:c r="G8" s="1" t="str">
        <x:v>Prices are fixed at listed tiers. Re-source prices after changing fitted quantities.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2" t="str">
        <x:v>Reference</x:v>
      </x:c>
      <x:c r="B10" s="12" t="str">
        <x:v>Function</x:v>
      </x:c>
      <x:c r="C10" s="12" t="str">
        <x:v>Manufacturer</x:v>
      </x:c>
      <x:c r="D10" s="12" t="str">
        <x:v>MPN</x:v>
      </x:c>
      <x:c r="E10" s="12" t="str">
        <x:v>LCSC part</x:v>
      </x:c>
      <x:c r="F10" s="12" t="str">
        <x:v>Fitted qty</x:v>
      </x:c>
      <x:c r="G10" s="12" t="str">
        <x:v>MOQ</x:v>
      </x:c>
      <x:c r="H10" s="12" t="str">
        <x:v>Multiple</x:v>
      </x:c>
      <x:c r="I10" s="12" t="str">
        <x:v>Order qty</x:v>
      </x:c>
      <x:c r="J10" s="12" t="str">
        <x:v>Tier start</x:v>
      </x:c>
      <x:c r="K10" s="12" t="str">
        <x:v>Unit USD</x:v>
      </x:c>
      <x:c r="L10" s="12" t="str">
        <x:v>Fitted USD</x:v>
      </x:c>
      <x:c r="M10" s="12" t="str">
        <x:v>Order USD</x:v>
      </x:c>
      <x:c r="N10" s="12" t="str">
        <x:v>Stock qty</x:v>
      </x:c>
      <x:c r="O10" s="12" t="str">
        <x:v>Availability</x:v>
      </x:c>
      <x:c r="P10" s="12" t="str">
        <x:v>Accessed</x:v>
      </x:c>
      <x:c r="Q10" s="12" t="str">
        <x:v>Cache age</x:v>
      </x:c>
      <x:c r="R10" s="1"/>
      <x:c r="S10" s="1" t="str">
        <x:v>LCSC source URL</x:v>
      </x:c>
    </x:row>
    <x:row r="11" ht="36" customHeight="1">
      <x:c r="A11" s="22" t="str">
        <x:v>U1</x:v>
      </x:c>
      <x:c r="B11" s="22" t="str">
        <x:v>Bluetooth audio</x:v>
      </x:c>
      <x:c r="C11" s="22" t="str">
        <x:v>Microchip</x:v>
      </x:c>
      <x:c r="D11" s="22" t="str">
        <x:v>BM83SM1-00TA</x:v>
      </x:c>
      <x:c r="E11" s="22" t="str">
        <x:v>C6752723</x:v>
      </x:c>
      <x:c r="F11" s="23" t="n">
        <x:v>1</x:v>
      </x:c>
      <x:c r="G11" s="13" t="n">
        <x:v>1</x:v>
      </x:c>
      <x:c r="H11" s="13" t="n">
        <x:v>1</x:v>
      </x:c>
      <x:c r="I11" s="14" t="n">
        <x:f>IF(OR(D11="",G11="",H11=""),"",IF(COUNTIF($D$11:D11,D11)&gt;1,0,ROUNDUP(MAX(SUMIF($D$11:$D$78,D11,$F$11:$F$78),G11)/H11,0)*H11))</x:f>
        <x:v>1</x:v>
      </x:c>
      <x:c r="J11" s="6" t="n">
        <x:v>1</x:v>
      </x:c>
      <x:c r="K11" s="28" t="n">
        <x:v>19.6018</x:v>
      </x:c>
      <x:c r="L11" s="30" t="n">
        <x:f>IF(K11="","",ROUND(F11*K11,4))</x:f>
        <x:v>19.6018</x:v>
      </x:c>
      <x:c r="M11" s="30" t="n">
        <x:f>IF(OR(K11="",I11="",N11=""),"",IF(N11&gt;=I11,ROUND(I11*K11,4),""))</x:f>
        <x:v>19.6018</x:v>
      </x:c>
      <x:c r="N11" s="7" t="n">
        <x:v>1</x:v>
      </x:c>
      <x:c r="O11" s="1" t="str">
        <x:v>In stock</x:v>
      </x:c>
      <x:c r="P11" s="4" t="n">
        <x:v>46297</x:v>
      </x:c>
      <x:c r="Q11" s="1" t="str">
        <x:v>4 days ago</x:v>
      </x:c>
      <x:c r="R11" s="1"/>
      <x:c r="S11" s="1" t="str">
        <x:v>https://www.lcsc.com/product-detail/C6752723.html</x:v>
      </x:c>
    </x:row>
    <x:row r="12" ht="36" customHeight="1">
      <x:c r="A12" s="22" t="str">
        <x:v>U3</x:v>
      </x:c>
      <x:c r="B12" s="22" t="str">
        <x:v>System control</x:v>
      </x:c>
      <x:c r="C12" s="22" t="str">
        <x:v>ST</x:v>
      </x:c>
      <x:c r="D12" s="22" t="str">
        <x:v>STM32G031K8T6</x:v>
      </x:c>
      <x:c r="E12" s="22" t="str">
        <x:v>C432203</x:v>
      </x:c>
      <x:c r="F12" s="23" t="n">
        <x:v>1</x:v>
      </x:c>
      <x:c r="G12" s="13" t="n">
        <x:v>1</x:v>
      </x:c>
      <x:c r="H12" s="13" t="n">
        <x:v>1</x:v>
      </x:c>
      <x:c r="I12" s="14" t="n">
        <x:f>IF(OR(D12="",G12="",H12=""),"",IF(COUNTIF($D$11:D12,D12)&gt;1,0,ROUNDUP(MAX(SUMIF($D$11:$D$78,D12,$F$11:$F$78),G12)/H12,0)*H12))</x:f>
        <x:v>1</x:v>
      </x:c>
      <x:c r="J12" s="6" t="n">
        <x:v>1</x:v>
      </x:c>
      <x:c r="K12" s="28" t="n">
        <x:v>3.107</x:v>
      </x:c>
      <x:c r="L12" s="30" t="n">
        <x:f>IF(K12="","",ROUND(F12*K12,4))</x:f>
        <x:v>3.107</x:v>
      </x:c>
      <x:c r="M12" s="30" t="n">
        <x:f>IF(OR(K12="",I12="",N12=""),"",IF(N12&gt;=I12,ROUND(I12*K12,4),""))</x:f>
        <x:v>3.107</x:v>
      </x:c>
      <x:c r="N12" s="7" t="n">
        <x:v>299</x:v>
      </x:c>
      <x:c r="O12" s="1" t="str">
        <x:v>In stock</x:v>
      </x:c>
      <x:c r="P12" s="4" t="n">
        <x:v>46297</x:v>
      </x:c>
      <x:c r="Q12" s="1" t="str">
        <x:v>today</x:v>
      </x:c>
      <x:c r="R12" s="1"/>
      <x:c r="S12" s="1" t="str">
        <x:v>https://www.lcsc.com/product-detail/C432203.html</x:v>
      </x:c>
    </x:row>
    <x:row r="13" ht="36" customHeight="1">
      <x:c r="A13" s="22" t="str">
        <x:v>U4</x:v>
      </x:c>
      <x:c r="B13" s="22" t="str">
        <x:v>Battery charger, 5-20 V 1S buck-boost</x:v>
      </x:c>
      <x:c r="C13" s="22" t="str">
        <x:v>TI</x:v>
      </x:c>
      <x:c r="D13" s="22" t="str">
        <x:v>BQ25792RQMR</x:v>
      </x:c>
      <x:c r="E13" s="22" t="str">
        <x:v>C2862876</x:v>
      </x:c>
      <x:c r="F13" s="23" t="n">
        <x:v>1</x:v>
      </x:c>
      <x:c r="G13" s="13"/>
      <x:c r="H13" s="13"/>
      <x:c r="I13" s="14" t="str">
        <x:f>IF(OR(D13="",G13="",H13=""),"",IF(COUNTIF($D$11:D13,D13)&gt;1,0,ROUNDUP(MAX(SUMIF($D$11:$D$78,D13,$F$11:$F$78),G13)/H13,0)*H13))</x:f>
      </x:c>
      <x:c r="J13" s="6"/>
      <x:c r="K13" s="28"/>
      <x:c r="L13" s="30" t="str">
        <x:f>IF(K13="","",ROUND(F13*K13,4))</x:f>
      </x:c>
      <x:c r="M13" s="30" t="str">
        <x:f>IF(OR(K13="",I13="",N13=""),"",IF(N13&gt;=I13,ROUND(I13*K13,4),""))</x:f>
      </x:c>
      <x:c r="N13" s="7"/>
      <x:c r="O13" s="1" t="str">
        <x:v>Stock/price unverified</x:v>
      </x:c>
      <x:c r="P13" s="4"/>
      <x:c r="Q13" s="1"/>
      <x:c r="R13" s="1" t="str">
        <x:v>Replaces BQ25895. Review snapshot: US$2.0489 (1+), 4,970 in stock; not re-verified at this BOM freeze, so excluded from priced subtotal.</x:v>
      </x:c>
      <x:c r="S13" s="1" t="str">
        <x:v>https://www.lcsc.com/product-detail/C2862876.html</x:v>
      </x:c>
    </x:row>
    <x:row r="14" ht="36" customHeight="1">
      <x:c r="A14" s="22" t="str">
        <x:v>U5</x:v>
      </x:c>
      <x:c r="B14" s="22" t="str">
        <x:v>Battery fuel gauge</x:v>
      </x:c>
      <x:c r="C14" s="22" t="str">
        <x:v>Maxim</x:v>
      </x:c>
      <x:c r="D14" s="22" t="str">
        <x:v>MAX17048G+T10</x:v>
      </x:c>
      <x:c r="E14" s="22" t="str">
        <x:v>C2682616</x:v>
      </x:c>
      <x:c r="F14" s="23" t="n">
        <x:v>1</x:v>
      </x:c>
      <x:c r="G14" s="13" t="n">
        <x:v>1</x:v>
      </x:c>
      <x:c r="H14" s="13" t="n">
        <x:v>1</x:v>
      </x:c>
      <x:c r="I14" s="14" t="n">
        <x:f>IF(OR(D14="",G14="",H14=""),"",IF(COUNTIF($D$11:D14,D14)&gt;1,0,ROUNDUP(MAX(SUMIF($D$11:$D$78,D14,$F$11:$F$78),G14)/H14,0)*H14))</x:f>
        <x:v>1</x:v>
      </x:c>
      <x:c r="J14" s="6" t="n">
        <x:v>1</x:v>
      </x:c>
      <x:c r="K14" s="28" t="n">
        <x:v>2.1956</x:v>
      </x:c>
      <x:c r="L14" s="30" t="n">
        <x:f>IF(K14="","",ROUND(F14*K14,4))</x:f>
        <x:v>2.1956</x:v>
      </x:c>
      <x:c r="M14" s="30" t="n">
        <x:f>IF(OR(K14="",I14="",N14=""),"",IF(N14&gt;=I14,ROUND(I14*K14,4),""))</x:f>
        <x:v>2.1956</x:v>
      </x:c>
      <x:c r="N14" s="7" t="n">
        <x:v>24756</x:v>
      </x:c>
      <x:c r="O14" s="1" t="str">
        <x:v>In stock</x:v>
      </x:c>
      <x:c r="P14" s="4" t="n">
        <x:v>46297</x:v>
      </x:c>
      <x:c r="Q14" s="1" t="str">
        <x:v>today</x:v>
      </x:c>
      <x:c r="R14" s="1"/>
      <x:c r="S14" s="1" t="str">
        <x:v>https://www.lcsc.com/product-detail/C2682616.html</x:v>
      </x:c>
    </x:row>
    <x:row r="15" ht="36" customHeight="1">
      <x:c r="A15" s="22" t="str">
        <x:v>U2</x:v>
      </x:c>
      <x:c r="B15" s="22" t="str">
        <x:v>USB audio codec</x:v>
      </x:c>
      <x:c r="C15" s="22" t="str">
        <x:v>TI</x:v>
      </x:c>
      <x:c r="D15" s="22" t="str">
        <x:v>PCM2902CDBR</x:v>
      </x:c>
      <x:c r="E15" s="22" t="str">
        <x:v>C2651869</x:v>
      </x:c>
      <x:c r="F15" s="23" t="n">
        <x:v>1</x:v>
      </x:c>
      <x:c r="G15" s="13" t="n">
        <x:v>1</x:v>
      </x:c>
      <x:c r="H15" s="13" t="n">
        <x:v>1</x:v>
      </x:c>
      <x:c r="I15" s="14" t="n">
        <x:f>IF(OR(D15="",G15="",H15=""),"",IF(COUNTIF($D$11:D15,D15)&gt;1,0,ROUNDUP(MAX(SUMIF($D$11:$D$78,D15,$F$11:$F$78),G15)/H15,0)*H15))</x:f>
        <x:v>1</x:v>
      </x:c>
      <x:c r="J15" s="6" t="n">
        <x:v>1</x:v>
      </x:c>
      <x:c r="K15" s="28" t="n">
        <x:v>13.6956</x:v>
      </x:c>
      <x:c r="L15" s="30" t="n">
        <x:f>IF(K15="","",ROUND(F15*K15,4))</x:f>
        <x:v>13.6956</x:v>
      </x:c>
      <x:c r="M15" s="30" t="n">
        <x:f>IF(OR(K15="",I15="",N15=""),"",IF(N15&gt;=I15,ROUND(I15*K15,4),""))</x:f>
        <x:v>13.6956</x:v>
      </x:c>
      <x:c r="N15" s="7" t="n">
        <x:v>4</x:v>
      </x:c>
      <x:c r="O15" s="1" t="str">
        <x:v>In stock</x:v>
      </x:c>
      <x:c r="P15" s="4" t="n">
        <x:v>46297</x:v>
      </x:c>
      <x:c r="Q15" s="1" t="str">
        <x:v>3 weeks ago</x:v>
      </x:c>
      <x:c r="R15" s="1"/>
      <x:c r="S15" s="1" t="str">
        <x:v>https://www.lcsc.com/product-detail/C2651869.html</x:v>
      </x:c>
    </x:row>
    <x:row r="16" ht="36" customHeight="1">
      <x:c r="A16" s="22" t="str">
        <x:v>U6, U7</x:v>
      </x:c>
      <x:c r="B16" s="22" t="str">
        <x:v>Speaker amplifiers</x:v>
      </x:c>
      <x:c r="C16" s="22" t="str">
        <x:v>TI</x:v>
      </x:c>
      <x:c r="D16" s="22" t="str">
        <x:v>TAS5825MRHBR</x:v>
      </x:c>
      <x:c r="E16" s="22" t="str">
        <x:v>C471049</x:v>
      </x:c>
      <x:c r="F16" s="23" t="n">
        <x:v>2</x:v>
      </x:c>
      <x:c r="G16" s="13" t="n">
        <x:v>1</x:v>
      </x:c>
      <x:c r="H16" s="13" t="n">
        <x:v>1</x:v>
      </x:c>
      <x:c r="I16" s="14" t="n">
        <x:f>IF(OR(D16="",G16="",H16=""),"",IF(COUNTIF($D$11:D16,D16)&gt;1,0,ROUNDUP(MAX(SUMIF($D$11:$D$78,D16,$F$11:$F$78),G16)/H16,0)*H16))</x:f>
        <x:v>2</x:v>
      </x:c>
      <x:c r="J16" s="6" t="n">
        <x:v>1</x:v>
      </x:c>
      <x:c r="K16" s="28" t="n">
        <x:v>2.7394</x:v>
      </x:c>
      <x:c r="L16" s="30" t="n">
        <x:f>IF(K16="","",ROUND(F16*K16,4))</x:f>
        <x:v>5.4788</x:v>
      </x:c>
      <x:c r="M16" s="30" t="n">
        <x:f>IF(OR(K16="",I16="",N16=""),"",IF(N16&gt;=I16,ROUND(I16*K16,4),""))</x:f>
        <x:v>5.4788</x:v>
      </x:c>
      <x:c r="N16" s="7" t="n">
        <x:v>113</x:v>
      </x:c>
      <x:c r="O16" s="1" t="str">
        <x:v>In stock</x:v>
      </x:c>
      <x:c r="P16" s="4" t="n">
        <x:v>46297</x:v>
      </x:c>
      <x:c r="Q16" s="1" t="str">
        <x:v>yesterday</x:v>
      </x:c>
      <x:c r="R16" s="1"/>
      <x:c r="S16" s="1" t="str">
        <x:v>https://www.lcsc.com/product-detail/audio-amplifiers_texas-instruments-tas5825mrhbr_C471049.html</x:v>
      </x:c>
    </x:row>
    <x:row r="17" ht="36" customHeight="1">
      <x:c r="A17" s="22" t="str">
        <x:v>J1</x:v>
      </x:c>
      <x:c r="B17" s="22" t="str">
        <x:v>USB-C receptacle</x:v>
      </x:c>
      <x:c r="C17" s="22" t="str">
        <x:v>Korean Hroparts Elec</x:v>
      </x:c>
      <x:c r="D17" s="22" t="str">
        <x:v>TYPE-C-31-M-12</x:v>
      </x:c>
      <x:c r="E17" s="22" t="str">
        <x:v>C165948</x:v>
      </x:c>
      <x:c r="F17" s="23" t="n">
        <x:v>1</x:v>
      </x:c>
      <x:c r="G17" s="13" t="n">
        <x:v>5</x:v>
      </x:c>
      <x:c r="H17" s="13" t="n">
        <x:v>5</x:v>
      </x:c>
      <x:c r="I17" s="14" t="n">
        <x:f>IF(OR(D17="",G17="",H17=""),"",IF(COUNTIF($D$11:D17,D17)&gt;1,0,ROUNDUP(MAX(SUMIF($D$11:$D$78,D17,$F$11:$F$78),G17)/H17,0)*H17))</x:f>
        <x:v>5</x:v>
      </x:c>
      <x:c r="J17" s="6" t="n">
        <x:v>5</x:v>
      </x:c>
      <x:c r="K17" s="28" t="n">
        <x:v>0.1727</x:v>
      </x:c>
      <x:c r="L17" s="30" t="n">
        <x:f>IF(K17="","",ROUND(F17*K17,4))</x:f>
        <x:v>0.1727</x:v>
      </x:c>
      <x:c r="M17" s="30" t="n">
        <x:f>IF(OR(K17="",I17="",N17=""),"",IF(N17&gt;=I17,ROUND(I17*K17,4),""))</x:f>
        <x:v>0.8635</x:v>
      </x:c>
      <x:c r="N17" s="7" t="n">
        <x:v>434585</x:v>
      </x:c>
      <x:c r="O17" s="1" t="str">
        <x:v>In stock</x:v>
      </x:c>
      <x:c r="P17" s="4" t="n">
        <x:v>46297</x:v>
      </x:c>
      <x:c r="Q17" s="1" t="str">
        <x:v>today</x:v>
      </x:c>
      <x:c r="R17" s="1"/>
      <x:c r="S17" s="1" t="str">
        <x:v>https://www.lcsc.com/product-detail/C165948.html</x:v>
      </x:c>
    </x:row>
    <x:row r="18" ht="36" customHeight="1">
      <x:c r="A18" s="22" t="str">
        <x:v>J2, J3</x:v>
      </x:c>
      <x:c r="B18" s="22" t="str">
        <x:v>Headphones / line-in</x:v>
      </x:c>
      <x:c r="C18" s="22" t="str">
        <x:v>HOOYA</x:v>
      </x:c>
      <x:c r="D18" s="22" t="str">
        <x:v>PJ-307</x:v>
      </x:c>
      <x:c r="E18" s="22" t="str">
        <x:v>C2939173</x:v>
      </x:c>
      <x:c r="F18" s="23" t="n">
        <x:v>2</x:v>
      </x:c>
      <x:c r="G18" s="13" t="n">
        <x:v>5</x:v>
      </x:c>
      <x:c r="H18" s="13" t="n">
        <x:v>5</x:v>
      </x:c>
      <x:c r="I18" s="14" t="n">
        <x:f>IF(OR(D18="",G18="",H18=""),"",IF(COUNTIF($D$11:D18,D18)&gt;1,0,ROUNDUP(MAX(SUMIF($D$11:$D$78,D18,$F$11:$F$78),G18)/H18,0)*H18))</x:f>
        <x:v>5</x:v>
      </x:c>
      <x:c r="J18" s="6" t="n">
        <x:v>5</x:v>
      </x:c>
      <x:c r="K18" s="28" t="n">
        <x:v>0.152</x:v>
      </x:c>
      <x:c r="L18" s="30" t="n">
        <x:f>IF(K18="","",ROUND(F18*K18,4))</x:f>
        <x:v>0.304</x:v>
      </x:c>
      <x:c r="M18" s="30" t="n">
        <x:f>IF(OR(K18="",I18="",N18=""),"",IF(N18&gt;=I18,ROUND(I18*K18,4),""))</x:f>
        <x:v>0.76</x:v>
      </x:c>
      <x:c r="N18" s="7" t="n">
        <x:v>1035</x:v>
      </x:c>
      <x:c r="O18" s="1" t="str">
        <x:v>In stock</x:v>
      </x:c>
      <x:c r="P18" s="4" t="n">
        <x:v>46297</x:v>
      </x:c>
      <x:c r="Q18" s="1" t="str">
        <x:v>3 days ago</x:v>
      </x:c>
      <x:c r="R18" s="1"/>
      <x:c r="S18" s="1" t="str">
        <x:v>https://www.lcsc.com/product-detail/C2939173.html</x:v>
      </x:c>
    </x:row>
    <x:row r="19" ht="36" customHeight="1">
      <x:c r="A19" s="22" t="str">
        <x:v>U8, U9</x:v>
      </x:c>
      <x:c r="B19" s="22" t="str">
        <x:v>Audio routing</x:v>
      </x:c>
      <x:c r="C19" s="22" t="str">
        <x:v>TI</x:v>
      </x:c>
      <x:c r="D19" s="22" t="str">
        <x:v>TS5A23157DGSR</x:v>
      </x:c>
      <x:c r="E19" s="22" t="str">
        <x:v>C11133</x:v>
      </x:c>
      <x:c r="F19" s="23" t="n">
        <x:v>2</x:v>
      </x:c>
      <x:c r="G19" s="13" t="n">
        <x:v>1</x:v>
      </x:c>
      <x:c r="H19" s="13" t="n">
        <x:v>1</x:v>
      </x:c>
      <x:c r="I19" s="14" t="n">
        <x:f>IF(OR(D19="",G19="",H19=""),"",IF(COUNTIF($D$11:D19,D19)&gt;1,0,ROUNDUP(MAX(SUMIF($D$11:$D$78,D19,$F$11:$F$78),G19)/H19,0)*H19))</x:f>
        <x:v>2</x:v>
      </x:c>
      <x:c r="J19" s="6" t="n">
        <x:v>1</x:v>
      </x:c>
      <x:c r="K19" s="28" t="n">
        <x:v>0.4931</x:v>
      </x:c>
      <x:c r="L19" s="30" t="n">
        <x:f>IF(K19="","",ROUND(F19*K19,4))</x:f>
        <x:v>0.9862</x:v>
      </x:c>
      <x:c r="M19" s="30" t="n">
        <x:f>IF(OR(K19="",I19="",N19=""),"",IF(N19&gt;=I19,ROUND(I19*K19,4),""))</x:f>
        <x:v>0.9862</x:v>
      </x:c>
      <x:c r="N19" s="7" t="n">
        <x:v>2179</x:v>
      </x:c>
      <x:c r="O19" s="1" t="str">
        <x:v>In stock</x:v>
      </x:c>
      <x:c r="P19" s="4" t="n">
        <x:v>46297</x:v>
      </x:c>
      <x:c r="Q19" s="1" t="str">
        <x:v>3 days ago</x:v>
      </x:c>
      <x:c r="R19" s="1"/>
      <x:c r="S19" s="1" t="str">
        <x:v>https://www.lcsc.com/product-detail/C11133.html</x:v>
      </x:c>
    </x:row>
    <x:row r="20" ht="36" customHeight="1">
      <x:c r="A20" s="22" t="str">
        <x:v>U10</x:v>
      </x:c>
      <x:c r="B20" s="22" t="str">
        <x:v>Headphone amplifier</x:v>
      </x:c>
      <x:c r="C20" s="22" t="str">
        <x:v>TI</x:v>
      </x:c>
      <x:c r="D20" s="22" t="str">
        <x:v>TPA6132A2RTER</x:v>
      </x:c>
      <x:c r="E20" s="22" t="str">
        <x:v>C69901</x:v>
      </x:c>
      <x:c r="F20" s="23" t="n">
        <x:v>1</x:v>
      </x:c>
      <x:c r="G20" s="13" t="n">
        <x:v>1</x:v>
      </x:c>
      <x:c r="H20" s="13" t="n">
        <x:v>1</x:v>
      </x:c>
      <x:c r="I20" s="14" t="n">
        <x:f>IF(OR(D20="",G20="",H20=""),"",IF(COUNTIF($D$11:D20,D20)&gt;1,0,ROUNDUP(MAX(SUMIF($D$11:$D$78,D20,$F$11:$F$78),G20)/H20,0)*H20))</x:f>
        <x:v>1</x:v>
      </x:c>
      <x:c r="J20" s="6" t="n">
        <x:v>1</x:v>
      </x:c>
      <x:c r="K20" s="28" t="n">
        <x:v>2.0544</x:v>
      </x:c>
      <x:c r="L20" s="30" t="n">
        <x:f>IF(K20="","",ROUND(F20*K20,4))</x:f>
        <x:v>2.0544</x:v>
      </x:c>
      <x:c r="M20" s="30" t="n">
        <x:f>IF(OR(K20="",I20="",N20=""),"",IF(N20&gt;=I20,ROUND(I20*K20,4),""))</x:f>
        <x:v>2.0544</x:v>
      </x:c>
      <x:c r="N20" s="7" t="n">
        <x:v>245</x:v>
      </x:c>
      <x:c r="O20" s="1" t="str">
        <x:v>In stock</x:v>
      </x:c>
      <x:c r="P20" s="4" t="n">
        <x:v>46297</x:v>
      </x:c>
      <x:c r="Q20" s="1" t="str">
        <x:v>today</x:v>
      </x:c>
      <x:c r="R20" s="1"/>
      <x:c r="S20" s="1" t="str">
        <x:v>https://www.lcsc.com/product-detail/C69901.html</x:v>
      </x:c>
    </x:row>
    <x:row r="21" ht="36" customHeight="1">
      <x:c r="A21" s="22" t="str">
        <x:v>D1</x:v>
      </x:c>
      <x:c r="B21" s="22" t="str">
        <x:v>USB data ESD</x:v>
      </x:c>
      <x:c r="C21" s="22" t="str">
        <x:v>TI</x:v>
      </x:c>
      <x:c r="D21" s="22" t="str">
        <x:v>TPD2E2U06DRLR</x:v>
      </x:c>
      <x:c r="E21" s="22" t="str">
        <x:v>C1972959</x:v>
      </x:c>
      <x:c r="F21" s="23" t="n">
        <x:v>1</x:v>
      </x:c>
      <x:c r="G21" s="13" t="n">
        <x:v>5</x:v>
      </x:c>
      <x:c r="H21" s="13" t="n">
        <x:v>5</x:v>
      </x:c>
      <x:c r="I21" s="14" t="n">
        <x:f>IF(OR(D21="",G21="",H21=""),"",IF(COUNTIF($D$11:D21,D21)&gt;1,0,ROUNDUP(MAX(SUMIF($D$11:$D$78,D21,$F$11:$F$78),G21)/H21,0)*H21))</x:f>
        <x:v>5</x:v>
      </x:c>
      <x:c r="J21" s="6" t="n">
        <x:v>5</x:v>
      </x:c>
      <x:c r="K21" s="28" t="n">
        <x:v>0.3254</x:v>
      </x:c>
      <x:c r="L21" s="30" t="n">
        <x:f>IF(K21="","",ROUND(F21*K21,4))</x:f>
        <x:v>0.3254</x:v>
      </x:c>
      <x:c r="M21" s="30" t="n">
        <x:f>IF(OR(K21="",I21="",N21=""),"",IF(N21&gt;=I21,ROUND(I21*K21,4),""))</x:f>
        <x:v>1.627</x:v>
      </x:c>
      <x:c r="N21" s="7" t="n">
        <x:v>7620</x:v>
      </x:c>
      <x:c r="O21" s="1" t="str">
        <x:v>In stock</x:v>
      </x:c>
      <x:c r="P21" s="4" t="n">
        <x:v>46297</x:v>
      </x:c>
      <x:c r="Q21" s="1" t="str">
        <x:v>today</x:v>
      </x:c>
      <x:c r="R21" s="1"/>
      <x:c r="S21" s="1" t="str">
        <x:v>https://www.lcsc.com/product-detail/C1972959.html</x:v>
      </x:c>
    </x:row>
    <x:row r="22" ht="36" customHeight="1">
      <x:c r="A22" s="22" t="str">
        <x:v>U11</x:v>
      </x:c>
      <x:c r="B22" s="22" t="str">
        <x:v>USB-C PD 5-20 V sink controller</x:v>
      </x:c>
      <x:c r="C22" s="22" t="str">
        <x:v>TI</x:v>
      </x:c>
      <x:c r="D22" s="22" t="str">
        <x:v>TPS25730DREFR</x:v>
      </x:c>
      <x:c r="E22" s="22" t="str">
        <x:v>C22438973</x:v>
      </x:c>
      <x:c r="F22" s="22" t="n">
        <x:v>1</x:v>
      </x:c>
      <x:c r="G22" s="1"/>
      <x:c r="H22" s="1"/>
      <x:c r="I22" s="1" t="str">
        <x:f>IF(OR(D22="",G22="",H22=""),"",IF(COUNTIF($D$11:D22,D22)&gt;1,0,ROUNDUP(MAX(SUMIF($D$11:$D$78,D22,$F$11:$F$78),G22)/H22,0)*H22))</x:f>
      </x:c>
      <x:c r="J22" s="1"/>
      <x:c r="K22" s="28"/>
      <x:c r="L22" s="31" t="str">
        <x:f>IF(K22="","",ROUND(F22*K22,4))</x:f>
      </x:c>
      <x:c r="M22" s="31" t="str">
        <x:f>IF(OR(K22="",I22="",N22=""),"",IF(N22&gt;=I22,ROUND(I22*K22,4),""))</x:f>
      </x:c>
      <x:c r="N22" s="7"/>
      <x:c r="O22" s="1" t="str">
        <x:v>Stock/price unverified</x:v>
      </x:c>
      <x:c r="P22" s="4"/>
      <x:c r="Q22" s="1"/>
      <x:c r="R22" s="1" t="str">
        <x:v>Replaces STUSB4500 and Q1/Q2/U18/U19-front-end parts. Review snapshot: US$3.0105 (1+), 381 in stock; not re-verified.</x:v>
      </x:c>
      <x:c r="S22" s="1" t="str">
        <x:v>https://www.lcsc.com/product-detail/C22438973.html</x:v>
      </x:c>
    </x:row>
    <x:row r="23" ht="36" customHeight="1">
      <x:c r="A23" s="24" t="str">
        <x:v>U12</x:v>
      </x:c>
      <x:c r="B23" s="22" t="str">
        <x:v>3.0 V always-on LDO</x:v>
      </x:c>
      <x:c r="C23" s="22" t="str">
        <x:v>TI</x:v>
      </x:c>
      <x:c r="D23" s="22" t="str">
        <x:v>TPS7A0230PDBVR</x:v>
      </x:c>
      <x:c r="E23" s="22" t="str">
        <x:v>C3747031</x:v>
      </x:c>
      <x:c r="F23" s="22" t="n">
        <x:v>1</x:v>
      </x:c>
      <x:c r="G23" s="1" t="n">
        <x:v>1</x:v>
      </x:c>
      <x:c r="H23" s="1" t="n">
        <x:v>1</x:v>
      </x:c>
      <x:c r="I23" s="1" t="n">
        <x:f>IF(OR(D23="",G23="",H23=""),"",IF(COUNTIF($D$11:D23,D23)&gt;1,0,ROUNDUP(MAX(SUMIF($D$11:$D$78,D23,$F$11:$F$78),G23)/H23,0)*H23))</x:f>
        <x:v>1</x:v>
      </x:c>
      <x:c r="J23" s="1" t="n">
        <x:v>1</x:v>
      </x:c>
      <x:c r="K23" s="28" t="n">
        <x:v>0.4515</x:v>
      </x:c>
      <x:c r="L23" s="31" t="n">
        <x:f>IF(K23="","",ROUND(F23*K23,4))</x:f>
        <x:v>0.4515</x:v>
      </x:c>
      <x:c r="M23" s="31" t="n">
        <x:f>IF(OR(K23="",I23="",N23=""),"",IF(N23&gt;=I23,ROUND(I23*K23,4),""))</x:f>
        <x:v>0.4515</x:v>
      </x:c>
      <x:c r="N23" s="7" t="n">
        <x:v>37473</x:v>
      </x:c>
      <x:c r="O23" s="1" t="str">
        <x:v>Snapshot</x:v>
      </x:c>
      <x:c r="P23" s="4" t="n">
        <x:v>46299</x:v>
      </x:c>
      <x:c r="Q23" s="1" t="str">
        <x:v>today</x:v>
      </x:c>
      <x:c r="R23" s="1"/>
      <x:c r="S23" s="1" t="str">
        <x:v>https://www.lcsc.com/product-detail/C3747031.html</x:v>
      </x:c>
    </x:row>
    <x:row r="24" ht="36" customHeight="1">
      <x:c r="A24" s="22" t="str">
        <x:v>U13, U16, U17</x:v>
      </x:c>
      <x:c r="B24" s="22" t="str">
        <x:v>Low-current gauge signal isolation</x:v>
      </x:c>
      <x:c r="C24" s="22" t="str">
        <x:v>TI</x:v>
      </x:c>
      <x:c r="D24" s="22" t="str">
        <x:v>TS5A3167DBVR</x:v>
      </x:c>
      <x:c r="E24" s="22" t="str">
        <x:v>C128416</x:v>
      </x:c>
      <x:c r="F24" s="22" t="n">
        <x:v>3</x:v>
      </x:c>
      <x:c r="G24" s="1" t="n">
        <x:v>5</x:v>
      </x:c>
      <x:c r="H24" s="1" t="n">
        <x:v>5</x:v>
      </x:c>
      <x:c r="I24" s="1" t="n">
        <x:f>IF(OR(D24="",G24="",H24=""),"",IF(COUNTIF($D$11:D24,D24)&gt;1,0,ROUNDUP(MAX(SUMIF($D$11:$D$78,D24,$F$11:$F$78),G24)/H24,0)*H24))</x:f>
        <x:v>5</x:v>
      </x:c>
      <x:c r="J24" s="1" t="n">
        <x:v>5</x:v>
      </x:c>
      <x:c r="K24" s="28" t="n">
        <x:v>0.3187</x:v>
      </x:c>
      <x:c r="L24" s="31" t="n">
        <x:f>IF(K24="","",ROUND(F24*K24,4))</x:f>
        <x:v>0.9561</x:v>
      </x:c>
      <x:c r="M24" s="31" t="n">
        <x:f>IF(OR(K24="",I24="",N24=""),"",IF(N24&gt;=I24,ROUND(I24*K24,4),""))</x:f>
        <x:v>1.5935</x:v>
      </x:c>
      <x:c r="N24" s="7" t="n">
        <x:v>11755</x:v>
      </x:c>
      <x:c r="O24" s="1" t="str">
        <x:v>Listing snapshot</x:v>
      </x:c>
      <x:c r="P24" s="4" t="n">
        <x:v>46299</x:v>
      </x:c>
      <x:c r="Q24" s="1" t="str">
        <x:v>2026-10-04</x:v>
      </x:c>
      <x:c r="R24" s="1"/>
      <x:c r="S24" s="1" t="str">
        <x:v>https://www.lcsc.com/product-detail/C128416.html</x:v>
      </x:c>
    </x:row>
    <x:row r="25" ht="36" customHeight="1">
      <x:c r="A25" s="22" t="str">
        <x:v>Q100, Q101, Q102, Q104</x:v>
      </x:c>
      <x:c r="B25" s="22" t="str">
        <x:v>Charger CE, ILIM_HIZ and gauge-enable NMOS</x:v>
      </x:c>
      <x:c r="C25" s="22" t="str">
        <x:v>Nexperia</x:v>
      </x:c>
      <x:c r="D25" s="22" t="str">
        <x:v>2N7002,215</x:v>
      </x:c>
      <x:c r="E25" s="22" t="str">
        <x:v>C65189</x:v>
      </x:c>
      <x:c r="F25" s="22" t="n">
        <x:v>4</x:v>
      </x:c>
      <x:c r="G25" s="1" t="n">
        <x:v>20</x:v>
      </x:c>
      <x:c r="H25" s="1" t="n">
        <x:v>20</x:v>
      </x:c>
      <x:c r="I25" s="1" t="n">
        <x:f>IF(OR(D25="",G25="",H25=""),"",IF(COUNTIF($D$11:D25,D25)&gt;1,0,ROUNDUP(MAX(SUMIF($D$11:$D$78,D25,$F$11:$F$78),G25)/H25,0)*H25))</x:f>
        <x:v>20</x:v>
      </x:c>
      <x:c r="J25" s="1" t="n">
        <x:v>20</x:v>
      </x:c>
      <x:c r="K25" s="28" t="n">
        <x:v>0.0183</x:v>
      </x:c>
      <x:c r="L25" s="31" t="n">
        <x:f>IF(K25="","",ROUND(F25*K25,4))</x:f>
        <x:v>0.0732</x:v>
      </x:c>
      <x:c r="M25" s="31" t="n">
        <x:f>IF(OR(K25="",I25="",N25=""),"",IF(N25&gt;=I25,ROUND(I25*K25,4),""))</x:f>
        <x:v>0.366</x:v>
      </x:c>
      <x:c r="N25" s="7" t="n">
        <x:v>274640</x:v>
      </x:c>
      <x:c r="O25" s="1" t="str">
        <x:v>Listing snapshot</x:v>
      </x:c>
      <x:c r="P25" s="4" t="n">
        <x:v>46300</x:v>
      </x:c>
      <x:c r="Q25" s="1" t="str">
        <x:v>2026-10-05</x:v>
      </x:c>
      <x:c r="R25" s="1"/>
      <x:c r="S25" s="1" t="str">
        <x:v>https://www.lcsc.com/product-detail/C65189.html</x:v>
      </x:c>
    </x:row>
    <x:row r="26" ht="36" customHeight="1">
      <x:c r="A26" s="22" t="str">
        <x:v>D5</x:v>
      </x:c>
      <x:c r="B26" s="22" t="str">
        <x:v>USB-C CC protection</x:v>
      </x:c>
      <x:c r="C26" s="22" t="str">
        <x:v>ST</x:v>
      </x:c>
      <x:c r="D26" s="22" t="str">
        <x:v>ESDA25L</x:v>
      </x:c>
      <x:c r="E26" s="22" t="str">
        <x:v>C95343</x:v>
      </x:c>
      <x:c r="F26" s="22" t="n">
        <x:v>1</x:v>
      </x:c>
      <x:c r="G26" s="1" t="n">
        <x:v>5</x:v>
      </x:c>
      <x:c r="H26" s="1" t="n">
        <x:v>5</x:v>
      </x:c>
      <x:c r="I26" s="1" t="n">
        <x:f>IF(OR(D26="",G26="",H26=""),"",IF(COUNTIF($D$11:D26,D26)&gt;1,0,ROUNDUP(MAX(SUMIF($D$11:$D$78,D26,$F$11:$F$78),G26)/H26,0)*H26))</x:f>
        <x:v>5</x:v>
      </x:c>
      <x:c r="J26" s="1" t="n">
        <x:v>5</x:v>
      </x:c>
      <x:c r="K26" s="28" t="n">
        <x:v>0.0971</x:v>
      </x:c>
      <x:c r="L26" s="31" t="n">
        <x:f>IF(K26="","",ROUND(F26*K26,4))</x:f>
        <x:v>0.0971</x:v>
      </x:c>
      <x:c r="M26" s="31" t="n">
        <x:f>IF(OR(K26="",I26="",N26=""),"",IF(N26&gt;=I26,ROUND(I26*K26,4),""))</x:f>
        <x:v>0.4855</x:v>
      </x:c>
      <x:c r="N26" s="7" t="n">
        <x:v>1955</x:v>
      </x:c>
      <x:c r="O26" s="1" t="str">
        <x:v>Snapshot</x:v>
      </x:c>
      <x:c r="P26" s="4" t="n">
        <x:v>46299</x:v>
      </x:c>
      <x:c r="Q26" s="1" t="str">
        <x:v>2 months ago</x:v>
      </x:c>
      <x:c r="R26" s="1"/>
      <x:c r="S26" s="1" t="str">
        <x:v>https://www.lcsc.com/product-detail/C95343.html</x:v>
      </x:c>
    </x:row>
    <x:row r="27" ht="36" customHeight="1">
      <x:c r="A27" s="22" t="str">
        <x:v>D6</x:v>
      </x:c>
      <x:c r="B27" s="22" t="str">
        <x:v>Raw VBUS 22V standoff TVS</x:v>
      </x:c>
      <x:c r="C27" s="22" t="str">
        <x:v>TI</x:v>
      </x:c>
      <x:c r="D27" s="22" t="str">
        <x:v>TVS2200DRVR</x:v>
      </x:c>
      <x:c r="E27" s="22" t="str">
        <x:v>C523793</x:v>
      </x:c>
      <x:c r="F27" s="22" t="n">
        <x:v>1</x:v>
      </x:c>
      <x:c r="G27" s="1" t="n">
        <x:v>5</x:v>
      </x:c>
      <x:c r="H27" s="1" t="n">
        <x:v>5</x:v>
      </x:c>
      <x:c r="I27" s="1" t="n">
        <x:f>IF(OR(D27="",G27="",H27=""),"",IF(COUNTIF($D$11:D27,D27)&gt;1,0,ROUNDUP(MAX(SUMIF($D$11:$D$78,D27,$F$11:$F$78),G27)/H27,0)*H27))</x:f>
        <x:v>5</x:v>
      </x:c>
      <x:c r="J27" s="1" t="n">
        <x:v>5</x:v>
      </x:c>
      <x:c r="K27" s="28" t="n">
        <x:v>0.4672</x:v>
      </x:c>
      <x:c r="L27" s="31" t="n">
        <x:f>IF(K27="","",ROUND(F27*K27,4))</x:f>
        <x:v>0.4672</x:v>
      </x:c>
      <x:c r="M27" s="31" t="n">
        <x:f>IF(OR(K27="",I27="",N27=""),"",IF(N27&gt;=I27,ROUND(I27*K27,4),""))</x:f>
        <x:v>2.336</x:v>
      </x:c>
      <x:c r="N27" s="7" t="n">
        <x:v>3285</x:v>
      </x:c>
      <x:c r="O27" s="1" t="str">
        <x:v>Listing snapshot</x:v>
      </x:c>
      <x:c r="P27" s="4" t="n">
        <x:v>46299</x:v>
      </x:c>
      <x:c r="Q27" s="1" t="str">
        <x:v>2026-10-04</x:v>
      </x:c>
      <x:c r="R27" s="1"/>
      <x:c r="S27" s="1" t="str">
        <x:v>https://www.lcsc.com/product-detail/C523793.html</x:v>
      </x:c>
    </x:row>
    <x:row r="28" ht="36" customHeight="1">
      <x:c r="A28" s="22" t="str">
        <x:v>L1</x:v>
      </x:c>
      <x:c r="B28" s="22" t="str">
        <x:v>Charger inductor</x:v>
      </x:c>
      <x:c r="C28" s="22" t="str">
        <x:v>Bourns</x:v>
      </x:c>
      <x:c r="D28" s="22" t="str">
        <x:v>SRN6045TA-2R2Y</x:v>
      </x:c>
      <x:c r="E28" s="22" t="str">
        <x:v>C1332316</x:v>
      </x:c>
      <x:c r="F28" s="22" t="n">
        <x:v>1</x:v>
      </x:c>
      <x:c r="G28" s="1" t="n">
        <x:v>5</x:v>
      </x:c>
      <x:c r="H28" s="1" t="n">
        <x:v>5</x:v>
      </x:c>
      <x:c r="I28" s="1" t="n">
        <x:f>IF(OR(D28="",G28="",H28=""),"",IF(COUNTIF($D$11:D28,D28)&gt;1,0,ROUNDUP(MAX(SUMIF($D$11:$D$78,D28,$F$11:$F$78),G28)/H28,0)*H28))</x:f>
        <x:v>5</x:v>
      </x:c>
      <x:c r="J28" s="1" t="n">
        <x:v>5</x:v>
      </x:c>
      <x:c r="K28" s="28" t="n">
        <x:v>0.2261</x:v>
      </x:c>
      <x:c r="L28" s="31" t="n">
        <x:f>IF(K28="","",ROUND(F28*K28,4))</x:f>
        <x:v>0.2261</x:v>
      </x:c>
      <x:c r="M28" s="31" t="n">
        <x:f>IF(OR(K28="",I28="",N28=""),"",IF(N28&gt;=I28,ROUND(I28*K28,4),""))</x:f>
        <x:v>1.1305</x:v>
      </x:c>
      <x:c r="N28" s="7" t="n">
        <x:v>2980</x:v>
      </x:c>
      <x:c r="O28" s="1" t="str">
        <x:v>Snapshot</x:v>
      </x:c>
      <x:c r="P28" s="4" t="n">
        <x:v>46299</x:v>
      </x:c>
      <x:c r="Q28" s="1" t="str">
        <x:v>5 days ago</x:v>
      </x:c>
      <x:c r="R28" s="1"/>
      <x:c r="S28" s="1" t="str">
        <x:v>https://www.lcsc.com/product-detail/C1332316.html</x:v>
      </x:c>
    </x:row>
    <x:row r="29" ht="36" customHeight="1">
      <x:c r="A29" s="22" t="str">
        <x:v>Q103</x:v>
      </x:c>
      <x:c r="B29" s="22" t="str">
        <x:v>Ship FET (pack disconnect)</x:v>
      </x:c>
      <x:c r="C29" s="22" t="str">
        <x:v>Texas Instruments</x:v>
      </x:c>
      <x:c r="D29" s="22" t="str">
        <x:v>CSD17579Q3A</x:v>
      </x:c>
      <x:c r="E29" s="22" t="str">
        <x:v>C97376</x:v>
      </x:c>
      <x:c r="F29" s="22" t="n">
        <x:v>1</x:v>
      </x:c>
      <x:c r="G29" s="1"/>
      <x:c r="H29" s="1"/>
      <x:c r="I29" s="1" t="str">
        <x:f>IF(OR(D29="",G29="",H29=""),"",IF(COUNTIF($D$11:D29,D29)&gt;1,0,ROUNDUP(MAX(SUMIF($D$11:$D$78,D29,$F$11:$F$78),G29)/H29,0)*H29))</x:f>
      </x:c>
      <x:c r="J29" s="1"/>
      <x:c r="K29" s="28"/>
      <x:c r="L29" s="31" t="str">
        <x:f>IF(K29="","",ROUND(F29*K29,4))</x:f>
      </x:c>
      <x:c r="M29" s="31" t="str">
        <x:f>IF(OR(K29="",I29="",N29=""),"",IF(N29&gt;=I29,ROUND(I29*K29,4),""))</x:f>
      </x:c>
      <x:c r="N29" s="7"/>
      <x:c r="O29" s="1" t="str">
        <x:v>Stock/price unverified</x:v>
      </x:c>
      <x:c r="P29" s="4"/>
      <x:c r="Q29" s="1"/>
      <x:c r="R29" s="1" t="str">
        <x:v>Price/stock not verified.</x:v>
      </x:c>
      <x:c r="S29" s="1" t="str">
        <x:v>https://www.lcsc.com/product-detail/C97376.html</x:v>
      </x:c>
    </x:row>
    <x:row r="30" ht="96" customHeight="1">
      <x:c r="A30" s="22" t="str">
        <x:v>C6, C104, C105, C107, C140, C141, C142, C150, C152, C153, C154</x:v>
      </x:c>
      <x:c r="B30" s="22" t="str">
        <x:v>Charger / regulated-rail 22uF bulk capacitors</x:v>
      </x:c>
      <x:c r="C30" s="22" t="str">
        <x:v>Murata</x:v>
      </x:c>
      <x:c r="D30" s="22" t="str">
        <x:v>GRM21BZ71A226ME15L</x:v>
      </x:c>
      <x:c r="E30" s="22" t="str">
        <x:v>C907991</x:v>
      </x:c>
      <x:c r="F30" s="22" t="n">
        <x:v>11</x:v>
      </x:c>
      <x:c r="G30" s="1" t="n">
        <x:v>5</x:v>
      </x:c>
      <x:c r="H30" s="1" t="n">
        <x:v>5</x:v>
      </x:c>
      <x:c r="I30" s="1" t="n">
        <x:f>IF(OR(D30="",G30="",H30=""),"",IF(COUNTIF($D$11:D30,D30)&gt;1,0,ROUNDUP(MAX(SUMIF($D$11:$D$78,D30,$F$11:$F$78),G30)/H30,0)*H30))</x:f>
        <x:v>15</x:v>
      </x:c>
      <x:c r="J30" s="1" t="n">
        <x:v>5</x:v>
      </x:c>
      <x:c r="K30" s="28" t="n">
        <x:v>0.2543</x:v>
      </x:c>
      <x:c r="L30" s="31" t="n">
        <x:f>IF(K30="","",ROUND(F30*K30,4))</x:f>
        <x:v>2.7973</x:v>
      </x:c>
      <x:c r="M30" s="31" t="n">
        <x:f>IF(OR(K30="",I30="",N30=""),"",IF(N30&gt;=I30,ROUND(I30*K30,4),""))</x:f>
        <x:v>3.8145</x:v>
      </x:c>
      <x:c r="N30" s="7" t="n">
        <x:v>146915</x:v>
      </x:c>
      <x:c r="O30" s="1" t="str">
        <x:v>Selected; price/stock open</x:v>
      </x:c>
      <x:c r="P30" s="4" t="n">
        <x:v>46300</x:v>
      </x:c>
      <x:c r="Q30" s="1" t="str">
        <x:v>2026-10-05</x:v>
      </x:c>
      <x:c r="R30" s="1"/>
      <x:c r="S30" s="1" t="str">
        <x:v>https://www.lcsc.com/product-detail/C907991.html</x:v>
      </x:c>
    </x:row>
    <x:row r="31" ht="36" customHeight="1">
      <x:c r="A31" s="25" t="str">
        <x:v>U14</x:v>
      </x:c>
      <x:c r="B31" s="25" t="str">
        <x:v>5 V codec logic buck-boost regulator</x:v>
      </x:c>
      <x:c r="C31" s="25" t="str">
        <x:v>Texas Instruments</x:v>
      </x:c>
      <x:c r="D31" s="25" t="str">
        <x:v>TPS63802DLAR</x:v>
      </x:c>
      <x:c r="E31" s="25" t="str">
        <x:v>C2845237</x:v>
      </x:c>
      <x:c r="F31" s="25" t="n">
        <x:v>1</x:v>
      </x:c>
      <x:c r="G31" t="n">
        <x:v>1</x:v>
      </x:c>
      <x:c r="H31" t="n">
        <x:v>1</x:v>
      </x:c>
      <x:c r="I31" t="n">
        <x:f>IF(OR(D31="",G31="",H31=""),"",IF(COUNTIF($D$11:D31,D31)&gt;1,0,ROUNDUP(MAX(SUMIF($D$11:$D$78,D31,$F$11:$F$78),G31)/H31,0)*H31))</x:f>
        <x:v>2</x:v>
      </x:c>
      <x:c r="J31" t="n">
        <x:v>1</x:v>
      </x:c>
      <x:c r="K31" s="26" t="n">
        <x:v>0.9773</x:v>
      </x:c>
      <x:c r="L31" s="27" t="n">
        <x:f>IF(K31="","",ROUND(F31*K31,4))</x:f>
        <x:v>0.9773</x:v>
      </x:c>
      <x:c r="M31" s="27" t="n">
        <x:f>IF(OR(K31="",I31="",N31=""),"",IF(N31&gt;=I31,ROUND(I31*K31,4),""))</x:f>
        <x:v>1.9546</x:v>
      </x:c>
      <x:c r="N31" s="17" t="n">
        <x:v>16705</x:v>
      </x:c>
      <x:c r="O31" t="str">
        <x:v>Listing snapshot</x:v>
      </x:c>
      <x:c r="P31" s="16" t="n">
        <x:v>46299</x:v>
      </x:c>
      <x:c r="Q31" t="str">
        <x:v>2026-10-04</x:v>
      </x:c>
      <x:c r="R31" t="str">
        <x:v>Same selected part and listing snapshot as U15; stock/price snapshot, not quote.</x:v>
      </x:c>
      <x:c r="S31" t="str">
        <x:v>https://www.lcsc.com/product-detail/C2845237.html</x:v>
      </x:c>
    </x:row>
    <x:row r="32" ht="36" customHeight="1">
      <x:c r="A32" s="25" t="str">
        <x:v>C2</x:v>
      </x:c>
      <x:c r="B32" s="25" t="str">
        <x:v>TPS25730D CVBUS 4.7uF / 50V X7R 1210</x:v>
      </x:c>
      <x:c r="C32" s="25" t="str">
        <x:v>Samsung Electro-Mechanics</x:v>
      </x:c>
      <x:c r="D32" s="25" t="str">
        <x:v>CL32B475KBUYNNE</x:v>
      </x:c>
      <x:c r="E32" s="25" t="str">
        <x:v>C170099</x:v>
      </x:c>
      <x:c r="F32" s="25" t="n">
        <x:v>1</x:v>
      </x:c>
      <x:c r="G32" t="n">
        <x:v>5</x:v>
      </x:c>
      <x:c r="H32" t="n">
        <x:v>5</x:v>
      </x:c>
      <x:c r="I32" t="n">
        <x:f>IF(OR(D32="",G32="",H32=""),"",IF(COUNTIF($D$11:D32,D32)&gt;1,0,ROUNDUP(MAX(SUMIF($D$11:$D$78,D32,$F$11:$F$78),G32)/H32,0)*H32))</x:f>
        <x:v>5</x:v>
      </x:c>
      <x:c r="J32" t="n">
        <x:v>5</x:v>
      </x:c>
      <x:c r="K32" s="26" t="n">
        <x:v>0.1367</x:v>
      </x:c>
      <x:c r="L32" s="27" t="n">
        <x:f>IF(K32="","",ROUND(F32*K32,4))</x:f>
        <x:v>0.1367</x:v>
      </x:c>
      <x:c r="M32" s="27" t="n">
        <x:f>IF(OR(K32="",I32="",N32=""),"",IF(N32&gt;=I32,ROUND(I32*K32,4),""))</x:f>
        <x:v>0.6835</x:v>
      </x:c>
      <x:c r="N32" t="n">
        <x:v>57880</x:v>
      </x:c>
      <x:c r="O32" t="str">
        <x:v>Listing snapshot</x:v>
      </x:c>
      <x:c r="P32" s="16" t="n">
        <x:v>46300</x:v>
      </x:c>
      <x:c r="Q32" t="str">
        <x:v>2026-10-05</x:v>
      </x:c>
      <x:c r="R32" t="str">
        <x:v>Alt: GRM32ER71H475KA88L C86052</x:v>
      </x:c>
      <x:c r="S32" t="str">
        <x:v>https://www.lcsc.com/product-detail/C170099.html</x:v>
      </x:c>
    </x:row>
    <x:row r="33" ht="36" customHeight="1">
      <x:c r="A33" s="25" t="str">
        <x:v>C184</x:v>
      </x:c>
      <x:c r="B33" s="25" t="str">
        <x:v>1uF / 50V capacitor; effective capacitance open</x:v>
      </x:c>
      <x:c r="C33" s="25" t="str">
        <x:v>Samsung Electro-Mechanics</x:v>
      </x:c>
      <x:c r="D33" s="25" t="str">
        <x:v>CL21B105KBFNNNE</x:v>
      </x:c>
      <x:c r="E33" s="25" t="str">
        <x:v>C28323</x:v>
      </x:c>
      <x:c r="F33" s="25" t="n">
        <x:v>1</x:v>
      </x:c>
      <x:c r="G33" t="n">
        <x:v>10</x:v>
      </x:c>
      <x:c r="H33" t="n">
        <x:v>10</x:v>
      </x:c>
      <x:c r="I33" t="n">
        <x:f>IF(OR(D33="",G33="",H33=""),"",IF(COUNTIF($D$11:D33,D33)&gt;1,0,ROUNDUP(MAX(SUMIF($D$11:$D$78,D33,$F$11:$F$78),G33)/H33,0)*H33))</x:f>
        <x:v>10</x:v>
      </x:c>
      <x:c r="J33" t="n">
        <x:v>10</x:v>
      </x:c>
      <x:c r="K33" s="26" t="n">
        <x:v>0.0403</x:v>
      </x:c>
      <x:c r="L33" s="27" t="n">
        <x:f>IF(K33="","",ROUND(F33*K33,4))</x:f>
        <x:v>0.0403</x:v>
      </x:c>
      <x:c r="M33" s="27" t="n">
        <x:f>IF(OR(K33="",I33="",N33=""),"",IF(N33&gt;=I33,ROUND(I33*K33,4),""))</x:f>
        <x:v>0.403</x:v>
      </x:c>
      <x:c r="N33" t="n">
        <x:v>1363910</x:v>
      </x:c>
      <x:c r="O33" t="str">
        <x:v>Listing snapshot</x:v>
      </x:c>
      <x:c r="P33" s="16" t="n">
        <x:v>46300</x:v>
      </x:c>
      <x:c r="Q33" t="str">
        <x:v>2026-10-05</x:v>
      </x:c>
      <x:c r="R33" t="str">
        <x:v>CL21B105KBFNNNE; effective capacitance at bias not proven.</x:v>
      </x:c>
      <x:c r="S33" t="str">
        <x:v>https://www.lcsc.com/product-detail/C28323.html</x:v>
      </x:c>
    </x:row>
    <x:row r="34" ht="36" customHeight="1">
      <x:c r="A34" s="25" t="str">
        <x:v>C5</x:v>
      </x:c>
      <x:c r="B34" s="25" t="str">
        <x:v>4.7uF / 50V U19 input capacitor; prove effective capacitance meets TI minimum at worst DC bias/tolerance/temp.</x:v>
      </x:c>
      <x:c r="C34" s="25" t="str">
        <x:v>Samsung Electro-Mechanics</x:v>
      </x:c>
      <x:c r="D34" s="25" t="str">
        <x:v>CL31B475KBHNNNE</x:v>
      </x:c>
      <x:c r="E34" s="25" t="str">
        <x:v>C51205</x:v>
      </x:c>
      <x:c r="F34" s="25" t="n">
        <x:v>1</x:v>
      </x:c>
      <x:c r="G34" t="n">
        <x:v>10</x:v>
      </x:c>
      <x:c r="H34" t="n">
        <x:v>10</x:v>
      </x:c>
      <x:c r="I34" t="n">
        <x:f>IF(OR(D34="",G34="",H34=""),"",IF(COUNTIF($D$11:D34,D34)&gt;1,0,ROUNDUP(MAX(SUMIF($D$11:$D$78,D34,$F$11:$F$78),G34)/H34,0)*H34))</x:f>
        <x:v>10</x:v>
      </x:c>
      <x:c r="J34" t="n">
        <x:v>10</x:v>
      </x:c>
      <x:c r="K34" s="26" t="n">
        <x:v>0.0759</x:v>
      </x:c>
      <x:c r="L34" s="27" t="n">
        <x:f>IF(K34="","",ROUND(F34*K34,4))</x:f>
        <x:v>0.0759</x:v>
      </x:c>
      <x:c r="M34" s="27" t="n">
        <x:f>IF(OR(K34="",I34="",N34=""),"",IF(N34&gt;=I34,ROUND(I34*K34,4),""))</x:f>
        <x:v>0.759</x:v>
      </x:c>
      <x:c r="N34" t="n">
        <x:v>302170</x:v>
      </x:c>
      <x:c r="O34" t="str">
        <x:v>Listing snapshot</x:v>
      </x:c>
      <x:c r="P34" s="16" t="n">
        <x:v>46300</x:v>
      </x:c>
      <x:c r="Q34" t="str">
        <x:v>2026-10-05</x:v>
      </x:c>
      <x:c r="R34"/>
      <x:c r="S34" t="str">
        <x:v>https://www.lcsc.com/product-detail/C51205.html</x:v>
      </x:c>
    </x:row>
    <x:row r="35" ht="36" customHeight="1">
      <x:c r="A35" s="25" t="str">
        <x:v>R10</x:v>
      </x:c>
      <x:c r="B35" s="25" t="str">
        <x:v>PD 200k 1% resistor</x:v>
      </x:c>
      <x:c r="C35" s="25" t="str">
        <x:v>YAGEO</x:v>
      </x:c>
      <x:c r="D35" s="25" t="str">
        <x:v>RC0603FR-07200KL</x:v>
      </x:c>
      <x:c r="E35" s="25" t="str">
        <x:v>C105604</x:v>
      </x:c>
      <x:c r="F35" s="25" t="n">
        <x:v>1</x:v>
      </x:c>
      <x:c r="G35" t="n">
        <x:v>100</x:v>
      </x:c>
      <x:c r="H35" t="n">
        <x:v>100</x:v>
      </x:c>
      <x:c r="I35" t="n">
        <x:f>IF(OR(D35="",G35="",H35=""),"",IF(COUNTIF($D$11:D35,D35)&gt;1,0,ROUNDUP(MAX(SUMIF($D$11:$D$78,D35,$F$11:$F$78),G35)/H35,0)*H35))</x:f>
        <x:v>100</x:v>
      </x:c>
      <x:c r="J35" t="n">
        <x:v>100</x:v>
      </x:c>
      <x:c r="K35" s="26" t="n">
        <x:v>0.0024</x:v>
      </x:c>
      <x:c r="L35" s="27" t="n">
        <x:f>IF(K35="","",ROUND(F35*K35,4))</x:f>
        <x:v>0.0024</x:v>
      </x:c>
      <x:c r="M35" s="27" t="str">
        <x:f>IF(OR(K35="",I35="",N35=""),"",IF(N35&gt;=I35,ROUND(I35*K35,4),""))</x:f>
      </x:c>
      <x:c r="N35"/>
      <x:c r="O35" t="str">
        <x:v>Listing snapshot</x:v>
      </x:c>
      <x:c r="P35" s="16" t="n">
        <x:v>46300</x:v>
      </x:c>
      <x:c r="Q35" t="str">
        <x:v>2026-10-06</x:v>
      </x:c>
      <x:c r="R35" t="str"/>
      <x:c r="S35" t="str">
        <x:v>https://www.lcsc.com/product-detail/C105604.html</x:v>
      </x:c>
    </x:row>
    <x:row r="36" ht="36" customHeight="1">
      <x:c r="A36" s="25" t="str">
        <x:v>J4</x:v>
      </x:c>
      <x:c r="B36" s="25" t="str">
        <x:v>PD I2C service header</x:v>
      </x:c>
      <x:c r="C36" s="25"/>
      <x:c r="D36" s="25"/>
      <x:c r="E36" s="25"/>
      <x:c r="F36" s="25" t="n">
        <x:v>1</x:v>
      </x:c>
      <x:c r="G36"/>
      <x:c r="H36"/>
      <x:c r="I36" t="str">
        <x:f>IF(OR(D36="",G36="",H36=""),"",IF(COUNTIF($D$11:D36,D36)&gt;1,0,ROUNDUP(MAX(SUMIF($D$11:$D$78,D36,$F$11:$F$78),G36)/H36,0)*H36))</x:f>
      </x:c>
      <x:c r="J36"/>
      <x:c r="K36" s="26"/>
      <x:c r="L36" s="27" t="str">
        <x:f>IF(K36="","",ROUND(F36*K36,4))</x:f>
      </x:c>
      <x:c r="M36" s="27" t="str">
        <x:f>IF(OR(K36="",I36="",N36=""),"",IF(N36&gt;=I36,ROUND(I36*K36,4),""))</x:f>
      </x:c>
      <x:c r="N36"/>
      <x:c r="O36" t="str">
        <x:v>MPN open</x:v>
      </x:c>
      <x:c r="P36" s="16"/>
      <x:c r="Q36"/>
      <x:c r="R36"/>
      <x:c r="S36"/>
    </x:row>
    <x:row r="37" ht="36" customHeight="1">
      <x:c r="A37" s="25" t="str">
        <x:v>C100, C101, C108, C111, C112</x:v>
      </x:c>
      <x:c r="B37" s="25" t="str">
        <x:v>BQ25792 VBUS/PMID 10uF / 50V X7R 1210 bank</x:v>
      </x:c>
      <x:c r="C37" s="25" t="str">
        <x:v>Samsung Electro-Mechanics</x:v>
      </x:c>
      <x:c r="D37" s="25" t="str">
        <x:v>CL32B106KBJNNNE</x:v>
      </x:c>
      <x:c r="E37" s="25" t="str">
        <x:v>C138687</x:v>
      </x:c>
      <x:c r="F37" s="25" t="n">
        <x:v>5</x:v>
      </x:c>
      <x:c r="G37" t="n">
        <x:v>1</x:v>
      </x:c>
      <x:c r="H37" t="n">
        <x:v>1</x:v>
      </x:c>
      <x:c r="I37" t="n">
        <x:f>IF(OR(D37="",G37="",H37=""),"",IF(COUNTIF($D$11:D37,D37)&gt;1,0,ROUNDUP(MAX(SUMIF($D$11:$D$78,D37,$F$11:$F$78),G37)/H37,0)*H37))</x:f>
        <x:v>5</x:v>
      </x:c>
      <x:c r="J37" t="n">
        <x:v>1</x:v>
      </x:c>
      <x:c r="K37" s="26" t="n">
        <x:v>0.1571</x:v>
      </x:c>
      <x:c r="L37" s="27" t="n">
        <x:f>IF(K37="","",ROUND(F37*K37,4))</x:f>
        <x:v>0.7855</x:v>
      </x:c>
      <x:c r="M37" s="27" t="n">
        <x:f>IF(OR(K37="",I37="",N37=""),"",IF(N37&gt;=I37,ROUND(I37*K37,4),""))</x:f>
        <x:v>0.7855</x:v>
      </x:c>
      <x:c r="N37" t="n">
        <x:v>183897</x:v>
      </x:c>
      <x:c r="O37" t="str">
        <x:v>Listing snapshot</x:v>
      </x:c>
      <x:c r="P37" s="16" t="n">
        <x:v>46300</x:v>
      </x:c>
      <x:c r="Q37" t="str">
        <x:v>2026-10-05</x:v>
      </x:c>
      <x:c r="R37" t="str">
        <x:v>Review snapshot 2026-10-05; effective capacitance at bias per bq25792 ceramic review.</x:v>
      </x:c>
      <x:c r="S37" t="str">
        <x:v>https://www.lcsc.com/product-detail/C138687.html</x:v>
      </x:c>
    </x:row>
    <x:row r="38" ht="36" customHeight="1">
      <x:c r="A38" s="25" t="str">
        <x:v>C102, C109, C181, C185</x:v>
      </x:c>
      <x:c r="B38" s="25" t="str">
        <x:v>10uF / 10V X7R 0805 capacitors (charger REGN/PD CVIN_3V3)</x:v>
      </x:c>
      <x:c r="C38" s="25" t="str">
        <x:v>Samsung Electro-Mechanics</x:v>
      </x:c>
      <x:c r="D38" s="25" t="str">
        <x:v>CL21B106KPQNNNE</x:v>
      </x:c>
      <x:c r="E38" s="25" t="str">
        <x:v>C32635</x:v>
      </x:c>
      <x:c r="F38" s="25" t="n">
        <x:v>4</x:v>
      </x:c>
      <x:c r="G38" t="n">
        <x:v>10</x:v>
      </x:c>
      <x:c r="H38" t="n">
        <x:v>10</x:v>
      </x:c>
      <x:c r="I38" t="n">
        <x:f>IF(OR(D38="",G38="",H38=""),"",IF(COUNTIF($D$11:D38,D38)&gt;1,0,ROUNDUP(MAX(SUMIF($D$11:$D$78,D38,$F$11:$F$78),G38)/H38,0)*H38))</x:f>
        <x:v>10</x:v>
      </x:c>
      <x:c r="J38" t="n">
        <x:v>10</x:v>
      </x:c>
      <x:c r="K38" s="26" t="n">
        <x:v>0.093</x:v>
      </x:c>
      <x:c r="L38" s="27" t="n">
        <x:f>IF(K38="","",ROUND(F38*K38,4))</x:f>
        <x:v>0.372</x:v>
      </x:c>
      <x:c r="M38" s="27" t="n">
        <x:f>IF(OR(K38="",I38="",N38=""),"",IF(N38&gt;=I38,ROUND(I38*K38,4),""))</x:f>
        <x:v>0.93</x:v>
      </x:c>
      <x:c r="N38" t="n">
        <x:v>230700</x:v>
      </x:c>
      <x:c r="O38" t="str">
        <x:v>Listing snapshot</x:v>
      </x:c>
      <x:c r="P38" s="16" t="n">
        <x:v>46300</x:v>
      </x:c>
      <x:c r="Q38" t="str">
        <x:v>2026-10-05</x:v>
      </x:c>
      <x:c r="R38"/>
      <x:c r="S38" t="str">
        <x:v>https://www.lcsc.com/product-detail/C32635.html</x:v>
      </x:c>
    </x:row>
    <x:row r="39" ht="36" customHeight="1">
      <x:c r="A39" s="25" t="str">
        <x:v>C103, C110</x:v>
      </x:c>
      <x:c r="B39" s="25" t="str">
        <x:v>47nF X7R / 50V bootstrap capacitors</x:v>
      </x:c>
      <x:c r="C39" s="25" t="str">
        <x:v>YAGEO</x:v>
      </x:c>
      <x:c r="D39" s="25" t="str">
        <x:v>CC0603KRX7R9BB473</x:v>
      </x:c>
      <x:c r="E39" s="25" t="str">
        <x:v>C107093</x:v>
      </x:c>
      <x:c r="F39" s="25" t="n">
        <x:v>2</x:v>
      </x:c>
      <x:c r="G39" t="n">
        <x:v>50</x:v>
      </x:c>
      <x:c r="H39" t="n">
        <x:v>50</x:v>
      </x:c>
      <x:c r="I39" t="n">
        <x:f>IF(OR(D39="",G39="",H39=""),"",IF(COUNTIF($D$11:D39,D39)&gt;1,0,ROUNDUP(MAX(SUMIF($D$11:$D$78,D39,$F$11:$F$78),G39)/H39,0)*H39))</x:f>
        <x:v>50</x:v>
      </x:c>
      <x:c r="J39" t="n">
        <x:v>50</x:v>
      </x:c>
      <x:c r="K39" s="26" t="n">
        <x:v>0.0077</x:v>
      </x:c>
      <x:c r="L39" s="27" t="n">
        <x:f>IF(K39="","",ROUND(F39*K39,4))</x:f>
        <x:v>0.0154</x:v>
      </x:c>
      <x:c r="M39" s="27" t="n">
        <x:f>IF(OR(K39="",I39="",N39=""),"",IF(N39&gt;=I39,ROUND(I39*K39,4),""))</x:f>
        <x:v>0.385</x:v>
      </x:c>
      <x:c r="N39" t="n">
        <x:v>1537650</x:v>
      </x:c>
      <x:c r="O39" t="str">
        <x:v>Listing snapshot</x:v>
      </x:c>
      <x:c r="P39" s="16" t="n">
        <x:v>46300</x:v>
      </x:c>
      <x:c r="Q39" t="str">
        <x:v>2026-10-05</x:v>
      </x:c>
      <x:c r="R39"/>
      <x:c r="S39" t="str">
        <x:v>https://www.lcsc.com/product-detail/C107093.html</x:v>
      </x:c>
    </x:row>
    <x:row r="40" ht="36" customHeight="1">
      <x:c r="A40" s="25" t="str">
        <x:v>C113, C114, C115</x:v>
      </x:c>
      <x:c r="B40" s="25" t="str">
        <x:v>BQ25792 VBUS/PMID/SYS 100nF/50V X7R 0402 bypass</x:v>
      </x:c>
      <x:c r="C40" s="25" t="str">
        <x:v>Murata</x:v>
      </x:c>
      <x:c r="D40" s="25" t="str">
        <x:v>GRM155R71H104KE14D</x:v>
      </x:c>
      <x:c r="E40" s="25" t="str">
        <x:v>C77020</x:v>
      </x:c>
      <x:c r="F40" s="25" t="n">
        <x:v>3</x:v>
      </x:c>
      <x:c r="G40" t="n">
        <x:v>100</x:v>
      </x:c>
      <x:c r="H40" t="n">
        <x:v>100</x:v>
      </x:c>
      <x:c r="I40" t="n">
        <x:f>IF(OR(D40="",G40="",H40=""),"",IF(COUNTIF($D$11:D40,D40)&gt;1,0,ROUNDUP(MAX(SUMIF($D$11:$D$78,D40,$F$11:$F$78),G40)/H40,0)*H40))</x:f>
        <x:v>100</x:v>
      </x:c>
      <x:c r="J40" t="n">
        <x:v>100</x:v>
      </x:c>
      <x:c r="K40" s="26" t="n">
        <x:v>0.007</x:v>
      </x:c>
      <x:c r="L40" s="27" t="n">
        <x:f>IF(K40="","",ROUND(F40*K40,4))</x:f>
        <x:v>0.021</x:v>
      </x:c>
      <x:c r="M40" s="27" t="n">
        <x:f>IF(OR(K40="",I40="",N40=""),"",IF(N40&gt;=I40,ROUND(I40*K40,4),""))</x:f>
        <x:v>0.7</x:v>
      </x:c>
      <x:c r="N40" t="n">
        <x:v>777000</x:v>
      </x:c>
      <x:c r="O40" t="str">
        <x:v>Listing snapshot</x:v>
      </x:c>
      <x:c r="P40" s="16" t="n">
        <x:v>46300</x:v>
      </x:c>
      <x:c r="Q40" t="str">
        <x:v>2026-10-05</x:v>
      </x:c>
      <x:c r="R40" t="str">
        <x:v>Footprint DesktopSpeaker:PD_C_0402 (no 3D model)</x:v>
      </x:c>
      <x:c r="S40" t="str">
        <x:v>https://www.lcsc.com/product-detail/C77020.html</x:v>
      </x:c>
    </x:row>
    <x:row r="41" ht="36" customHeight="1">
      <x:c r="A41" s="25" t="str">
        <x:v>D7</x:v>
      </x:c>
      <x:c r="B41" s="25" t="str">
        <x:v>TPS25730D VBUS-to-GND Schottky</x:v>
      </x:c>
      <x:c r="C41" s="25" t="str">
        <x:v>Diodes Incorporated</x:v>
      </x:c>
      <x:c r="D41" s="25" t="str">
        <x:v>1N5819HW-7-F</x:v>
      </x:c>
      <x:c r="E41" s="25" t="str">
        <x:v>C82544</x:v>
      </x:c>
      <x:c r="F41" s="25" t="n">
        <x:v>1</x:v>
      </x:c>
      <x:c r="G41" t="n">
        <x:v>10</x:v>
      </x:c>
      <x:c r="H41" t="n">
        <x:v>10</x:v>
      </x:c>
      <x:c r="I41" t="n">
        <x:f>IF(OR(D41="",G41="",H41=""),"",IF(COUNTIF($D$11:D41,D41)&gt;1,0,ROUNDUP(MAX(SUMIF($D$11:$D$78,D41,$F$11:$F$78),G41)/H41,0)*H41))</x:f>
        <x:v>10</x:v>
      </x:c>
      <x:c r="J41" t="n">
        <x:v>10</x:v>
      </x:c>
      <x:c r="K41" s="26" t="n">
        <x:v>0.057</x:v>
      </x:c>
      <x:c r="L41" s="27" t="n">
        <x:f>IF(K41="","",ROUND(F41*K41,4))</x:f>
        <x:v>0.057</x:v>
      </x:c>
      <x:c r="M41" s="27" t="n">
        <x:f>IF(OR(K41="",I41="",N41=""),"",IF(N41&gt;=I41,ROUND(I41*K41,4),""))</x:f>
        <x:v>0.57</x:v>
      </x:c>
      <x:c r="N41" t="n">
        <x:v>137330</x:v>
      </x:c>
      <x:c r="O41" t="str">
        <x:v>Listing snapshot</x:v>
      </x:c>
      <x:c r="P41" s="16" t="n">
        <x:v>46300</x:v>
      </x:c>
      <x:c r="Q41" t="str">
        <x:v>2026-10-05</x:v>
      </x:c>
      <x:c r="R41" t="str">
        <x:v>40V/1A SOD-123; leakage not bench-checked; alt B5819W SL C8598</x:v>
      </x:c>
      <x:c r="S41" t="str">
        <x:v>https://www.lcsc.com/product-detail/C82544.html</x:v>
      </x:c>
    </x:row>
    <x:row r="42" ht="36" customHeight="1">
      <x:c r="A42" s="25" t="str">
        <x:v>C182, C183</x:v>
      </x:c>
      <x:c r="B42" s="25" t="str">
        <x:v>TPS25730D CC1/CC2 330pF C0G filters</x:v>
      </x:c>
      <x:c r="C42" s="25" t="str">
        <x:v>Samsung Electro-Mechanics</x:v>
      </x:c>
      <x:c r="D42" s="25" t="str">
        <x:v>CL10C331JB8NNNC</x:v>
      </x:c>
      <x:c r="E42" s="25" t="str">
        <x:v>C1578</x:v>
      </x:c>
      <x:c r="F42" s="25" t="n">
        <x:v>2</x:v>
      </x:c>
      <x:c r="G42" t="n">
        <x:v>100</x:v>
      </x:c>
      <x:c r="H42" t="n">
        <x:v>100</x:v>
      </x:c>
      <x:c r="I42" t="n">
        <x:f>IF(OR(D42="",G42="",H42=""),"",IF(COUNTIF($D$11:D42,D42)&gt;1,0,ROUNDUP(MAX(SUMIF($D$11:$D$78,D42,$F$11:$F$78),G42)/H42,0)*H42))</x:f>
        <x:v>100</x:v>
      </x:c>
      <x:c r="J42" t="n">
        <x:v>100</x:v>
      </x:c>
      <x:c r="K42" s="26" t="n">
        <x:v>0.0089</x:v>
      </x:c>
      <x:c r="L42" s="27" t="n">
        <x:f>IF(K42="","",ROUND(F42*K42,4))</x:f>
        <x:v>0.0178</x:v>
      </x:c>
      <x:c r="M42" s="27" t="str">
        <x:f>IF(OR(K42="",I42="",N42=""),"",IF(N42&gt;=I42,ROUND(I42*K42,4),""))</x:f>
      </x:c>
      <x:c r="N42"/>
      <x:c r="O42" t="str">
        <x:v>Listing snapshot</x:v>
      </x:c>
      <x:c r="P42" s="16" t="n">
        <x:v>46300</x:v>
      </x:c>
      <x:c r="Q42" t="str">
        <x:v>2026-10-06</x:v>
      </x:c>
      <x:c r="R42" t="str"/>
      <x:c r="S42" t="str">
        <x:v>https://www.lcsc.com/product-detail/C1578.html</x:v>
      </x:c>
    </x:row>
    <x:row r="43" ht="36" customHeight="1">
      <x:c r="A43" s="25" t="str">
        <x:v>C106</x:v>
      </x:c>
      <x:c r="B43" s="25" t="str">
        <x:v>Charger BAT 22uF / 10V capacitor</x:v>
      </x:c>
      <x:c r="C43" s="25" t="str">
        <x:v>Murata</x:v>
      </x:c>
      <x:c r="D43" s="25" t="str">
        <x:v>GRM21BZ71A226ME15L</x:v>
      </x:c>
      <x:c r="E43" s="25" t="str">
        <x:v>C907991</x:v>
      </x:c>
      <x:c r="F43" s="25" t="n">
        <x:v>1</x:v>
      </x:c>
      <x:c r="G43" t="n">
        <x:v>5</x:v>
      </x:c>
      <x:c r="H43" t="n">
        <x:v>5</x:v>
      </x:c>
      <x:c r="I43" t="n">
        <x:f>IF(OR(D43="",G43="",H43=""),"",IF(COUNTIF($D$11:D43,D43)&gt;1,0,ROUNDUP(MAX(SUMIF($D$11:$D$78,D43,$F$11:$F$78),G43)/H43,0)*H43))</x:f>
        <x:v>0</x:v>
      </x:c>
      <x:c r="J43" t="n">
        <x:v>5</x:v>
      </x:c>
      <x:c r="K43" s="26" t="n">
        <x:v>0.2543</x:v>
      </x:c>
      <x:c r="L43" s="27" t="n">
        <x:f>IF(K43="","",ROUND(F43*K43,4))</x:f>
        <x:v>0.2543</x:v>
      </x:c>
      <x:c r="M43" s="27" t="str">
        <x:f>IF(OR(K43="",I43="",N43=""),"",IF(N43&gt;=I43,ROUND(I43*K43,4),""))</x:f>
      </x:c>
      <x:c r="N43" t="n">
        <x:v>146915</x:v>
      </x:c>
      <x:c r="O43" t="str">
        <x:v>Selected; price/stock open</x:v>
      </x:c>
      <x:c r="P43" s="16" t="n">
        <x:v>46300</x:v>
      </x:c>
      <x:c r="Q43" t="str">
        <x:v>2026-10-05</x:v>
      </x:c>
      <x:c r="R43"/>
      <x:c r="S43" t="str">
        <x:v>https://www.lcsc.com/product-detail/C907991.html</x:v>
      </x:c>
    </x:row>
    <x:row r="44" ht="36" customHeight="1">
      <x:c r="A44" s="25" t="str">
        <x:v>R100</x:v>
      </x:c>
      <x:c r="B44" s="25" t="str">
        <x:v>Charger 5.23k resistor</x:v>
      </x:c>
      <x:c r="C44" s="25" t="str">
        <x:v>SAE</x:v>
      </x:c>
      <x:c r="D44" s="25" t="str">
        <x:v>1RC0603F5231</x:v>
      </x:c>
      <x:c r="E44" s="25" t="str">
        <x:v>C54531489</x:v>
      </x:c>
      <x:c r="F44" s="25" t="n">
        <x:v>1</x:v>
      </x:c>
      <x:c r="G44" t="n">
        <x:v>100</x:v>
      </x:c>
      <x:c r="H44" t="n">
        <x:v>100</x:v>
      </x:c>
      <x:c r="I44" t="n">
        <x:f>IF(OR(D44="",G44="",H44=""),"",IF(COUNTIF($D$11:D44,D44)&gt;1,0,ROUNDUP(MAX(SUMIF($D$11:$D$78,D44,$F$11:$F$78),G44)/H44,0)*H44))</x:f>
        <x:v>100</x:v>
      </x:c>
      <x:c r="J44" t="n">
        <x:v>100</x:v>
      </x:c>
      <x:c r="K44" s="26" t="n">
        <x:v>0.002</x:v>
      </x:c>
      <x:c r="L44" s="27" t="n">
        <x:f>IF(K44="","",ROUND(F44*K44,4))</x:f>
        <x:v>0.002</x:v>
      </x:c>
      <x:c r="M44" s="27" t="n">
        <x:f>IF(OR(K44="",I44="",N44=""),"",IF(N44&gt;=I44,ROUND(I44*K44,4),""))</x:f>
        <x:v>0.2</x:v>
      </x:c>
      <x:c r="N44" t="n">
        <x:v>9900</x:v>
      </x:c>
      <x:c r="O44" t="str">
        <x:v>Listing snapshot</x:v>
      </x:c>
      <x:c r="P44" s="16" t="n">
        <x:v>46300</x:v>
      </x:c>
      <x:c r="Q44" t="str">
        <x:v>2026-10-05</x:v>
      </x:c>
      <x:c r="R44"/>
      <x:c r="S44" t="str">
        <x:v>https://www.lcsc.com/product-detail/C54531489.html</x:v>
      </x:c>
    </x:row>
    <x:row r="45" ht="36" customHeight="1">
      <x:c r="A45" s="25" t="str">
        <x:v>R101</x:v>
      </x:c>
      <x:c r="B45" s="25" t="str">
        <x:v>Charger 30.1k resistor</x:v>
      </x:c>
      <x:c r="C45" s="25" t="str">
        <x:v>SAE</x:v>
      </x:c>
      <x:c r="D45" s="25" t="str">
        <x:v>1RC0603F3012</x:v>
      </x:c>
      <x:c r="E45" s="25" t="str">
        <x:v>C54531365</x:v>
      </x:c>
      <x:c r="F45" s="25" t="n">
        <x:v>1</x:v>
      </x:c>
      <x:c r="G45" t="n">
        <x:v>100</x:v>
      </x:c>
      <x:c r="H45" t="n">
        <x:v>100</x:v>
      </x:c>
      <x:c r="I45" t="n">
        <x:f>IF(OR(D45="",G45="",H45=""),"",IF(COUNTIF($D$11:D45,D45)&gt;1,0,ROUNDUP(MAX(SUMIF($D$11:$D$78,D45,$F$11:$F$78),G45)/H45,0)*H45))</x:f>
        <x:v>100</x:v>
      </x:c>
      <x:c r="J45" t="n">
        <x:v>100</x:v>
      </x:c>
      <x:c r="K45" s="26" t="n">
        <x:v>0.002</x:v>
      </x:c>
      <x:c r="L45" s="27" t="n">
        <x:f>IF(K45="","",ROUND(F45*K45,4))</x:f>
        <x:v>0.002</x:v>
      </x:c>
      <x:c r="M45" s="27" t="n">
        <x:f>IF(OR(K45="",I45="",N45=""),"",IF(N45&gt;=I45,ROUND(I45*K45,4),""))</x:f>
        <x:v>0.2</x:v>
      </x:c>
      <x:c r="N45" t="n">
        <x:v>3700</x:v>
      </x:c>
      <x:c r="O45" t="str">
        <x:v>Listing snapshot</x:v>
      </x:c>
      <x:c r="P45" s="16" t="n">
        <x:v>46300</x:v>
      </x:c>
      <x:c r="Q45" t="str">
        <x:v>2026-10-05</x:v>
      </x:c>
      <x:c r="R45"/>
      <x:c r="S45" t="str">
        <x:v>https://www.lcsc.com/product-detail/C54531365.html</x:v>
      </x:c>
    </x:row>
    <x:row r="46" ht="36" customHeight="1">
      <x:c r="A46" s="25" t="str">
        <x:v>R102</x:v>
      </x:c>
      <x:c r="B46" s="25" t="str">
        <x:v>Charger 4.7k resistor</x:v>
      </x:c>
      <x:c r="C46" s="25" t="str">
        <x:v>YAGEO</x:v>
      </x:c>
      <x:c r="D46" s="25" t="str">
        <x:v>RC0603FR-074K7L</x:v>
      </x:c>
      <x:c r="E46" s="25" t="str">
        <x:v>C99782</x:v>
      </x:c>
      <x:c r="F46" s="25" t="n">
        <x:v>1</x:v>
      </x:c>
      <x:c r="G46" t="n">
        <x:v>100</x:v>
      </x:c>
      <x:c r="H46" t="n">
        <x:v>100</x:v>
      </x:c>
      <x:c r="I46" t="n">
        <x:f>IF(OR(D46="",G46="",H46=""),"",IF(COUNTIF($D$11:D46,D46)&gt;1,0,ROUNDUP(MAX(SUMIF($D$11:$D$78,D46,$F$11:$F$78),G46)/H46,0)*H46))</x:f>
        <x:v>100</x:v>
      </x:c>
      <x:c r="J46" t="n">
        <x:v>100</x:v>
      </x:c>
      <x:c r="K46" s="26" t="n">
        <x:v>0.0011</x:v>
      </x:c>
      <x:c r="L46" s="27" t="n">
        <x:f>IF(K46="","",ROUND(F46*K46,4))</x:f>
        <x:v>0.0011</x:v>
      </x:c>
      <x:c r="M46" s="27" t="n">
        <x:f>IF(OR(K46="",I46="",N46=""),"",IF(N46&gt;=I46,ROUND(I46*K46,4),""))</x:f>
        <x:v>0.11</x:v>
      </x:c>
      <x:c r="N46" t="n">
        <x:v>1575400</x:v>
      </x:c>
      <x:c r="O46" t="str">
        <x:v>Listing snapshot</x:v>
      </x:c>
      <x:c r="P46" s="16" t="n">
        <x:v>46300</x:v>
      </x:c>
      <x:c r="Q46" t="str">
        <x:v>2026-10-05</x:v>
      </x:c>
      <x:c r="R46"/>
      <x:c r="S46" t="str">
        <x:v>https://www.lcsc.com/product-detail/C99782.html</x:v>
      </x:c>
    </x:row>
    <x:row r="47" ht="36" customHeight="1">
      <x:c r="A47" s="25" t="str">
        <x:v>R108</x:v>
      </x:c>
      <x:c r="B47" s="25" t="str">
        <x:v>Charger 180k threshold resistor</x:v>
      </x:c>
      <x:c r="C47" s="25" t="str">
        <x:v>YAGEO</x:v>
      </x:c>
      <x:c r="D47" s="25" t="str">
        <x:v>RC0603FR-07180KL</x:v>
      </x:c>
      <x:c r="E47" s="25" t="str">
        <x:v>C123419</x:v>
      </x:c>
      <x:c r="F47" s="25" t="n">
        <x:v>1</x:v>
      </x:c>
      <x:c r="G47" t="n">
        <x:v>100</x:v>
      </x:c>
      <x:c r="H47" t="n">
        <x:v>100</x:v>
      </x:c>
      <x:c r="I47" t="n">
        <x:f>IF(OR(D47="",G47="",H47=""),"",IF(COUNTIF($D$11:D47,D47)&gt;1,0,ROUNDUP(MAX(SUMIF($D$11:$D$78,D47,$F$11:$F$78),G47)/H47,0)*H47))</x:f>
        <x:v>100</x:v>
      </x:c>
      <x:c r="J47" t="n">
        <x:v>100</x:v>
      </x:c>
      <x:c r="K47" s="26" t="n">
        <x:v>0.0012</x:v>
      </x:c>
      <x:c r="L47" s="27" t="n">
        <x:f>IF(K47="","",ROUND(F47*K47,4))</x:f>
        <x:v>0.0012</x:v>
      </x:c>
      <x:c r="M47" s="27" t="str">
        <x:f>IF(OR(K47="",I47="",N47=""),"",IF(N47&gt;=I47,ROUND(I47*K47,4),""))</x:f>
      </x:c>
      <x:c r="N47"/>
      <x:c r="O47" t="str">
        <x:v>Listing snapshot</x:v>
      </x:c>
      <x:c r="P47" s="16" t="n">
        <x:v>46300</x:v>
      </x:c>
      <x:c r="Q47" t="str">
        <x:v>2026-10-05</x:v>
      </x:c>
      <x:c r="R47"/>
      <x:c r="S47" t="str">
        <x:v>https://www.lcsc.com/product-detail/C123419.html</x:v>
      </x:c>
    </x:row>
    <x:row r="48" ht="36" customHeight="1">
      <x:c r="A48" s="25" t="str">
        <x:v>R112</x:v>
      </x:c>
      <x:c r="B48" s="25" t="str">
        <x:v>Charger 100R resistor</x:v>
      </x:c>
      <x:c r="C48" s="25" t="str">
        <x:v>YAGEO</x:v>
      </x:c>
      <x:c r="D48" s="25" t="str">
        <x:v>RC0603FR-07100RL</x:v>
      </x:c>
      <x:c r="E48" s="25" t="str">
        <x:v>C105588</x:v>
      </x:c>
      <x:c r="F48" s="25" t="n">
        <x:v>1</x:v>
      </x:c>
      <x:c r="G48" t="n">
        <x:v>100</x:v>
      </x:c>
      <x:c r="H48" t="n">
        <x:v>100</x:v>
      </x:c>
      <x:c r="I48" t="n">
        <x:f>IF(OR(D48="",G48="",H48=""),"",IF(COUNTIF($D$11:D48,D48)&gt;1,0,ROUNDUP(MAX(SUMIF($D$11:$D$78,D48,$F$11:$F$78),G48)/H48,0)*H48))</x:f>
        <x:v>100</x:v>
      </x:c>
      <x:c r="J48" t="n">
        <x:v>100</x:v>
      </x:c>
      <x:c r="K48" s="26" t="n">
        <x:v>0.0024</x:v>
      </x:c>
      <x:c r="L48" s="27" t="n">
        <x:f>IF(K48="","",ROUND(F48*K48,4))</x:f>
        <x:v>0.0024</x:v>
      </x:c>
      <x:c r="M48" s="27" t="n">
        <x:f>IF(OR(K48="",I48="",N48=""),"",IF(N48&gt;=I48,ROUND(I48*K48,4),""))</x:f>
        <x:v>0.24</x:v>
      </x:c>
      <x:c r="N48" t="n">
        <x:v>2943700</x:v>
      </x:c>
      <x:c r="O48" t="str">
        <x:v>Listing snapshot</x:v>
      </x:c>
      <x:c r="P48" s="16" t="n">
        <x:v>46300</x:v>
      </x:c>
      <x:c r="Q48" t="str">
        <x:v>2026-10-05</x:v>
      </x:c>
      <x:c r="R48"/>
      <x:c r="S48" t="str">
        <x:v>https://www.lcsc.com/product-detail/C105588.html</x:v>
      </x:c>
    </x:row>
    <x:row r="49" ht="36" customHeight="1">
      <x:c r="A49" s="25" t="str">
        <x:v>R106</x:v>
      </x:c>
      <x:c r="B49" s="25" t="str">
        <x:v>Charger INT pull-up 10k</x:v>
      </x:c>
      <x:c r="C49" s="25" t="str">
        <x:v>YAGEO</x:v>
      </x:c>
      <x:c r="D49" s="25" t="str">
        <x:v>RC0603FR-0710KL</x:v>
      </x:c>
      <x:c r="E49" s="25" t="str">
        <x:v>C98220</x:v>
      </x:c>
      <x:c r="F49" s="25" t="n">
        <x:v>1</x:v>
      </x:c>
      <x:c r="G49" t="n">
        <x:v>100</x:v>
      </x:c>
      <x:c r="H49" t="n">
        <x:v>100</x:v>
      </x:c>
      <x:c r="I49" t="n">
        <x:f>IF(OR(D49="",G49="",H49=""),"",IF(COUNTIF($D$11:D49,D49)&gt;1,0,ROUNDUP(MAX(SUMIF($D$11:$D$78,D49,$F$11:$F$78),G49)/H49,0)*H49))</x:f>
        <x:v>100</x:v>
      </x:c>
      <x:c r="J49" t="n">
        <x:v>100</x:v>
      </x:c>
      <x:c r="K49" s="26" t="n">
        <x:v>0.0035</x:v>
      </x:c>
      <x:c r="L49" s="27" t="n">
        <x:f>IF(K49="","",ROUND(F49*K49,4))</x:f>
        <x:v>0.0035</x:v>
      </x:c>
      <x:c r="M49" s="27" t="n">
        <x:f>IF(OR(K49="",I49="",N49=""),"",IF(N49&gt;=I49,ROUND(I49*K49,4),""))</x:f>
        <x:v>0.35</x:v>
      </x:c>
      <x:c r="N49" t="n">
        <x:v>11102500</x:v>
      </x:c>
      <x:c r="O49" t="str">
        <x:v>Listing snapshot</x:v>
      </x:c>
      <x:c r="P49" s="16" t="n">
        <x:v>46300</x:v>
      </x:c>
      <x:c r="Q49" t="str">
        <x:v>2026-10-05</x:v>
      </x:c>
      <x:c r="R49"/>
      <x:c r="S49" t="str">
        <x:v>https://www.lcsc.com/product-detail/C98220.html</x:v>
      </x:c>
    </x:row>
    <x:row r="50" ht="36" customHeight="1">
      <x:c r="A50" s="25" t="str">
        <x:v>R11, R13, R14, R15, R18</x:v>
      </x:c>
      <x:c r="B50" s="25" t="str">
        <x:v>TPS25730D 10k 1% resistors (CC/ADC, I2C pull-ups R14/R15, pin 36 R18)</x:v>
      </x:c>
      <x:c r="C50" s="25" t="str">
        <x:v>YAGEO</x:v>
      </x:c>
      <x:c r="D50" s="25" t="str">
        <x:v>RC0603FR-0710KL</x:v>
      </x:c>
      <x:c r="E50" s="25" t="str">
        <x:v>C98220</x:v>
      </x:c>
      <x:c r="F50" s="25" t="n">
        <x:v>5</x:v>
      </x:c>
      <x:c r="G50" t="n">
        <x:v>100</x:v>
      </x:c>
      <x:c r="H50" t="n">
        <x:v>100</x:v>
      </x:c>
      <x:c r="I50" t="n">
        <x:f>IF(OR(D50="",G50="",H50=""),"",IF(COUNTIF($D$11:D50,D50)&gt;1,0,ROUNDUP(MAX(SUMIF($D$11:$D$78,D50,$F$11:$F$78),G50)/H50,0)*H50))</x:f>
        <x:v>0</x:v>
      </x:c>
      <x:c r="J50" t="n">
        <x:v>100</x:v>
      </x:c>
      <x:c r="K50" s="26" t="n">
        <x:v>0.0034</x:v>
      </x:c>
      <x:c r="L50" s="27" t="n">
        <x:f>IF(K50="","",ROUND(F50*K50,4))</x:f>
        <x:v>0.017</x:v>
      </x:c>
      <x:c r="M50" s="27" t="str">
        <x:f>IF(OR(K50="",I50="",N50=""),"",IF(N50&gt;=I50,ROUND(I50*K50,4),""))</x:f>
      </x:c>
      <x:c r="N50" t="n">
        <x:v>7736700</x:v>
      </x:c>
      <x:c r="O50" t="str">
        <x:v>Listing snapshot</x:v>
      </x:c>
      <x:c r="P50" s="16" t="n">
        <x:v>46300</x:v>
      </x:c>
      <x:c r="Q50" t="str">
        <x:v>2026-10-05</x:v>
      </x:c>
      <x:c r="R50"/>
      <x:c r="S50" t="str">
        <x:v>https://www.lcsc.com/product-detail/C98220.html</x:v>
      </x:c>
    </x:row>
    <x:row r="51" ht="36" customHeight="1">
      <x:c r="A51" s="25" t="str">
        <x:v>R107</x:v>
      </x:c>
      <x:c r="B51" s="25" t="str">
        <x:v>Charger 100k resistor</x:v>
      </x:c>
      <x:c r="C51" s="25" t="str">
        <x:v>YAGEO</x:v>
      </x:c>
      <x:c r="D51" s="25" t="str">
        <x:v>RC0603FR-07100KL</x:v>
      </x:c>
      <x:c r="E51" s="25" t="str">
        <x:v>C14675</x:v>
      </x:c>
      <x:c r="F51" s="25" t="n">
        <x:v>1</x:v>
      </x:c>
      <x:c r="G51" t="n">
        <x:v>100</x:v>
      </x:c>
      <x:c r="H51" t="n">
        <x:v>100</x:v>
      </x:c>
      <x:c r="I51" t="n">
        <x:f>IF(OR(D51="",G51="",H51=""),"",IF(COUNTIF($D$11:D51,D51)&gt;1,0,ROUNDUP(MAX(SUMIF($D$11:$D$78,D51,$F$11:$F$78),G51)/H51,0)*H51))</x:f>
        <x:v>100</x:v>
      </x:c>
      <x:c r="J51" t="n">
        <x:v>100</x:v>
      </x:c>
      <x:c r="K51" s="26" t="n">
        <x:v>0.0036</x:v>
      </x:c>
      <x:c r="L51" s="27" t="n">
        <x:f>IF(K51="","",ROUND(F51*K51,4))</x:f>
        <x:v>0.0036</x:v>
      </x:c>
      <x:c r="M51" s="27" t="n">
        <x:f>IF(OR(K51="",I51="",N51=""),"",IF(N51&gt;=I51,ROUND(I51*K51,4),""))</x:f>
        <x:v>0.36</x:v>
      </x:c>
      <x:c r="N51" t="n">
        <x:v>7813400</x:v>
      </x:c>
      <x:c r="O51" t="str">
        <x:v>Listing snapshot</x:v>
      </x:c>
      <x:c r="P51" s="16" t="n">
        <x:v>46300</x:v>
      </x:c>
      <x:c r="Q51" t="str">
        <x:v>2026-10-05</x:v>
      </x:c>
      <x:c r="R51"/>
      <x:c r="S51" t="str">
        <x:v>https://www.lcsc.com/product-detail/C14675.html</x:v>
      </x:c>
    </x:row>
    <x:row r="52" ht="36" customHeight="1">
      <x:c r="A52" s="25" t="str">
        <x:v>R12, R16, R17</x:v>
      </x:c>
      <x:c r="B52" s="25" t="str">
        <x:v>TPS25730D 100k pull-ups / VIN_3V3 resistor</x:v>
      </x:c>
      <x:c r="C52" s="25" t="str">
        <x:v>YAGEO</x:v>
      </x:c>
      <x:c r="D52" s="25" t="str">
        <x:v>RC0603FR-07100KL</x:v>
      </x:c>
      <x:c r="E52" s="25" t="str">
        <x:v>C14675</x:v>
      </x:c>
      <x:c r="F52" s="25" t="n">
        <x:v>3</x:v>
      </x:c>
      <x:c r="G52" t="n">
        <x:v>100</x:v>
      </x:c>
      <x:c r="H52" t="n">
        <x:v>100</x:v>
      </x:c>
      <x:c r="I52" t="n">
        <x:f>IF(OR(D52="",G52="",H52=""),"",IF(COUNTIF($D$11:D52,D52)&gt;1,0,ROUNDUP(MAX(SUMIF($D$11:$D$78,D52,$F$11:$F$78),G52)/H52,0)*H52))</x:f>
        <x:v>0</x:v>
      </x:c>
      <x:c r="J52" t="n">
        <x:v>100</x:v>
      </x:c>
      <x:c r="K52" s="26" t="n">
        <x:v>0.0036</x:v>
      </x:c>
      <x:c r="L52" s="27" t="n">
        <x:f>IF(K52="","",ROUND(F52*K52,4))</x:f>
        <x:v>0.0108</x:v>
      </x:c>
      <x:c r="M52" s="27" t="str">
        <x:f>IF(OR(K52="",I52="",N52=""),"",IF(N52&gt;=I52,ROUND(I52*K52,4),""))</x:f>
      </x:c>
      <x:c r="N52" t="n">
        <x:v>7813400</x:v>
      </x:c>
      <x:c r="O52" t="str">
        <x:v>Listing snapshot</x:v>
      </x:c>
      <x:c r="P52" s="16" t="n">
        <x:v>46300</x:v>
      </x:c>
      <x:c r="Q52" t="str">
        <x:v>2026-10-05</x:v>
      </x:c>
      <x:c r="R52"/>
      <x:c r="S52" t="str">
        <x:v>https://www.lcsc.com/product-detail/C14675.html</x:v>
      </x:c>
    </x:row>
    <x:row r="53" ht="36" customHeight="1">
      <x:c r="A53" s="25" t="str">
        <x:v>R103, R109, R110, R111</x:v>
      </x:c>
      <x:c r="B53" s="25" t="str">
        <x:v>Charger 100k pull-up/down resistors</x:v>
      </x:c>
      <x:c r="C53" s="25" t="str">
        <x:v>YAGEO</x:v>
      </x:c>
      <x:c r="D53" s="25" t="str">
        <x:v>RC0603FR-07100KL</x:v>
      </x:c>
      <x:c r="E53" s="25" t="str">
        <x:v>C14675</x:v>
      </x:c>
      <x:c r="F53" s="25" t="n">
        <x:v>4</x:v>
      </x:c>
      <x:c r="G53" t="n">
        <x:v>100</x:v>
      </x:c>
      <x:c r="H53" t="n">
        <x:v>100</x:v>
      </x:c>
      <x:c r="I53" t="n">
        <x:f>IF(OR(D53="",G53="",H53=""),"",IF(COUNTIF($D$11:D53,D53)&gt;1,0,ROUNDUP(MAX(SUMIF($D$11:$D$78,D53,$F$11:$F$78),G53)/H53,0)*H53))</x:f>
        <x:v>0</x:v>
      </x:c>
      <x:c r="J53" t="n">
        <x:v>100</x:v>
      </x:c>
      <x:c r="K53" s="26" t="n">
        <x:v>0.0036</x:v>
      </x:c>
      <x:c r="L53" s="27" t="n">
        <x:f>IF(K53="","",ROUND(F53*K53,4))</x:f>
        <x:v>0.0144</x:v>
      </x:c>
      <x:c r="M53" s="27" t="str">
        <x:f>IF(OR(K53="",I53="",N53=""),"",IF(N53&gt;=I53,ROUND(I53*K53,4),""))</x:f>
      </x:c>
      <x:c r="N53" t="n">
        <x:v>7813400</x:v>
      </x:c>
      <x:c r="O53" t="str">
        <x:v>Listing snapshot</x:v>
      </x:c>
      <x:c r="P53" s="16" t="n">
        <x:v>46300</x:v>
      </x:c>
      <x:c r="Q53" t="str">
        <x:v>2026-10-05</x:v>
      </x:c>
      <x:c r="R53"/>
      <x:c r="S53" t="str">
        <x:v>https://www.lcsc.com/product-detail/C14675.html</x:v>
      </x:c>
    </x:row>
    <x:row r="54" ht="36" customHeight="1">
      <x:c r="A54" s="25" t="str">
        <x:v>J5</x:v>
      </x:c>
      <x:c r="B54" s="25" t="str">
        <x:v>Three-contact protected pack connector</x:v>
      </x:c>
      <x:c r="C54" s="25" t="str">
        <x:v>Molex</x:v>
      </x:c>
      <x:c r="D54" s="25" t="str">
        <x:v>43650-0300</x:v>
      </x:c>
      <x:c r="E54" s="25" t="str">
        <x:v>C503478</x:v>
      </x:c>
      <x:c r="F54" s="25" t="n">
        <x:v>1</x:v>
      </x:c>
      <x:c r="G54" t="n">
        <x:v>1</x:v>
      </x:c>
      <x:c r="H54" t="n">
        <x:v>1</x:v>
      </x:c>
      <x:c r="I54" t="n">
        <x:f>IF(OR(D54="",G54="",H54=""),"",IF(COUNTIF($D$11:D54,D54)&gt;1,0,ROUNDUP(MAX(SUMIF($D$11:$D$78,D54,$F$11:$F$78),G54)/H54,0)*H54))</x:f>
        <x:v>1</x:v>
      </x:c>
      <x:c r="J54" t="n">
        <x:v>1</x:v>
      </x:c>
      <x:c r="K54" s="26" t="n">
        <x:v>0.5485</x:v>
      </x:c>
      <x:c r="L54" s="27" t="n">
        <x:f>IF(K54="","",ROUND(F54*K54,4))</x:f>
        <x:v>0.5485</x:v>
      </x:c>
      <x:c r="M54" s="27" t="n">
        <x:f>IF(OR(K54="",I54="",N54=""),"",IF(N54&gt;=I54,ROUND(I54*K54,4),""))</x:f>
        <x:v>0.5485</x:v>
      </x:c>
      <x:c r="N54" t="n">
        <x:v>9368</x:v>
      </x:c>
      <x:c r="O54" t="str">
        <x:v>Listing snapshot, unverified</x:v>
      </x:c>
      <x:c r="P54" s="16" t="n">
        <x:v>46300</x:v>
      </x:c>
      <x:c r="Q54" t="str">
        <x:v>2026-10-06</x:v>
      </x:c>
      <x:c r="R54" t="str">
        <x:v>Selected 2026-10-06: Micro-Fit 3.0 3-pos right-angle header, 8.5 A/contact (LCSC listing); mates 43645-0300 housing + 43030 crimps (not yet in BOM). LCSC datasheet file is an LXW 5 A drawing; use Molex PS-43650. Price/stock from 2026-10-06 LCSC page, not a quote.</x:v>
      </x:c>
      <x:c r="S54" t="str">
        <x:v>https://www.lcsc.com/product-detail/C503478.html</x:v>
      </x:c>
    </x:row>
    <x:row r="55" ht="36" customHeight="1">
      <x:c r="A55" s="25" t="str">
        <x:v>SW100</x:v>
      </x:c>
      <x:c r="B55" s="25" t="str">
        <x:v>QON wake pushbutton</x:v>
      </x:c>
      <x:c r="C55" s="25" t="str">
        <x:v>TE Connectivity</x:v>
      </x:c>
      <x:c r="D55" s="25" t="str">
        <x:v>1977066-1</x:v>
      </x:c>
      <x:c r="E55" s="25" t="str">
        <x:v>C2972219</x:v>
      </x:c>
      <x:c r="F55" s="25" t="n">
        <x:v>1</x:v>
      </x:c>
      <x:c r="G55" t="n">
        <x:v>1</x:v>
      </x:c>
      <x:c r="H55" t="n">
        <x:v>1</x:v>
      </x:c>
      <x:c r="I55" t="n">
        <x:f>IF(OR(D55="",G55="",H55=""),"",IF(COUNTIF($D$11:D55,D55)&gt;1,0,ROUNDUP(MAX(SUMIF($D$11:$D$78,D55,$F$11:$F$78),G55)/H55,0)*H55))</x:f>
        <x:v>1</x:v>
      </x:c>
      <x:c r="J55" t="n">
        <x:v>1</x:v>
      </x:c>
      <x:c r="K55" s="26" t="n">
        <x:v>0.6291</x:v>
      </x:c>
      <x:c r="L55" s="27" t="n">
        <x:f>IF(K55="","",ROUND(F55*K55,4))</x:f>
        <x:v>0.6291</x:v>
      </x:c>
      <x:c r="M55" s="27" t="n">
        <x:f>IF(OR(K55="",I55="",N55=""),"",IF(N55&gt;=I55,ROUND(I55*K55,4),""))</x:f>
        <x:v>0.6291</x:v>
      </x:c>
      <x:c r="N55" t="n">
        <x:v>2009</x:v>
      </x:c>
      <x:c r="O55" t="str">
        <x:v>Listing snapshot, unverified</x:v>
      </x:c>
      <x:c r="P55" s="16" t="n">
        <x:v>46300</x:v>
      </x:c>
      <x:c r="Q55" t="str">
        <x:v>2026-10-06</x:v>
      </x:c>
      <x:c r="R55" t="str">
        <x:v>Selected 2026-10-06: right-angle SMT tact, 50 mA @12 V. LCSC number confirmed. Price/stock from LCSC page 2026-10-06, not a quote.</x:v>
      </x:c>
      <x:c r="S55" t="str">
        <x:v>https://www.lcsc.com/product-detail/C2972219.html</x:v>
      </x:c>
    </x:row>
    <x:row r="56" ht="36" customHeight="1">
      <x:c r="A56" s="25" t="str">
        <x:v>SW101</x:v>
      </x:c>
      <x:c r="B56" s="25" t="str">
        <x:v>Pack-positive disconnect switch</x:v>
      </x:c>
      <x:c r="C56" s="25" t="str">
        <x:v>SHOU HAN</x:v>
      </x:c>
      <x:c r="D56" s="25" t="str">
        <x:v>KCD1-201-R</x:v>
      </x:c>
      <x:c r="E56" s="25" t="str">
        <x:v>C5884429</x:v>
      </x:c>
      <x:c r="F56" s="25" t="n">
        <x:v>1</x:v>
      </x:c>
      <x:c r="G56" t="n">
        <x:v>1</x:v>
      </x:c>
      <x:c r="H56" t="n">
        <x:v>1</x:v>
      </x:c>
      <x:c r="I56" t="n">
        <x:f>IF(OR(D56="",G56="",H56=""),"",IF(COUNTIF($D$11:D56,D56)&gt;1,0,ROUNDUP(MAX(SUMIF($D$11:$D$78,D56,$F$11:$F$78),G56)/H56,0)*H56))</x:f>
        <x:v>1</x:v>
      </x:c>
      <x:c r="J56" t="n">
        <x:v>1</x:v>
      </x:c>
      <x:c r="K56" s="26" t="n">
        <x:v>0.338</x:v>
      </x:c>
      <x:c r="L56" s="27" t="n">
        <x:f>IF(K56="","",ROUND(F56*K56,4))</x:f>
        <x:v>0.338</x:v>
      </x:c>
      <x:c r="M56" s="27" t="str">
        <x:f>IF(OR(K56="",I56="",N56=""),"",IF(N56&gt;=I56,ROUND(I56*K56,4),""))</x:f>
      </x:c>
      <x:c r="N56" t="n">
        <x:v>0</x:v>
      </x:c>
      <x:c r="O56" t="str">
        <x:v>Listing snapshot, unverified</x:v>
      </x:c>
      <x:c r="P56" s="16" t="n">
        <x:v>46300</x:v>
      </x:c>
      <x:c r="Q56" t="str">
        <x:v>2026-10-06</x:v>
      </x:c>
      <x:c r="R56" t="str">
        <x:v>Selected 2026-10-06: 20 mm round SPST rocker, 10 A @12 VDC (datasheet), 6 A 250 VAC. LCSC stock 0 at 2026-10-06: availability and 3-terminal mapping UNVERIFIED; peak 15-20 A exceeds rating, see HANDOVER.</x:v>
      </x:c>
      <x:c r="S56" t="str">
        <x:v>https://www.lcsc.com/product-detail/C5884429.html</x:v>
      </x:c>
    </x:row>
    <x:row r="57" ht="36" customHeight="1">
      <x:c r="A57" s="25" t="str">
        <x:v>PACK</x:v>
      </x:c>
      <x:c r="B57" s="25" t="str">
        <x:v>Protected 1S Li-ion pack with 10k NTC; capacity/curve/lead open</x:v>
      </x:c>
      <x:c r="C57" s="25"/>
      <x:c r="D57" s="25"/>
      <x:c r="E57" s="25"/>
      <x:c r="F57" s="25" t="n">
        <x:v>1</x:v>
      </x:c>
      <x:c r="G57"/>
      <x:c r="H57"/>
      <x:c r="I57" t="str">
        <x:f>IF(OR(D57="",G57="",H57=""),"",IF(COUNTIF($D$11:D57,D57)&gt;1,0,ROUNDUP(MAX(SUMIF($D$11:$D$78,D57,$F$11:$F$78),G57)/H57,0)*H57))</x:f>
      </x:c>
      <x:c r="J57"/>
      <x:c r="K57" s="26"/>
      <x:c r="L57" s="27" t="str">
        <x:f>IF(K57="","",ROUND(F57*K57,4))</x:f>
      </x:c>
      <x:c r="M57" s="27" t="str">
        <x:f>IF(OR(K57="",I57="",N57=""),"",IF(N57&gt;=I57,ROUND(I57*K57,4),""))</x:f>
      </x:c>
      <x:c r="N57"/>
      <x:c r="O57" t="str">
        <x:v>MPN open</x:v>
      </x:c>
      <x:c r="P57" s="16"/>
      <x:c r="Q57"/>
      <x:c r="R57"/>
      <x:c r="S57"/>
    </x:row>
    <x:row r="58" ht="72" customHeight="1">
      <x:c r="A58" s="25" t="str">
        <x:v>C120, C121, C130, C131, C132, C143, C151, C126, C160, C162</x:v>
      </x:c>
      <x:c r="B58" s="25" t="str">
        <x:v>100nF / 10V-or-higher 0603 decoupling; supervisor C126</x:v>
      </x:c>
      <x:c r="C58" s="25" t="str">
        <x:v>Samsung Electro-Mechanics</x:v>
      </x:c>
      <x:c r="D58" s="25" t="str">
        <x:v>CL10B104KB8NNNC</x:v>
      </x:c>
      <x:c r="E58" s="25" t="str">
        <x:v>C1591</x:v>
      </x:c>
      <x:c r="F58" s="25" t="n">
        <x:v>10</x:v>
      </x:c>
      <x:c r="G58" t="n">
        <x:v>100</x:v>
      </x:c>
      <x:c r="H58" t="n">
        <x:v>100</x:v>
      </x:c>
      <x:c r="I58" t="n">
        <x:f>IF(OR(D58="",G58="",H58=""),"",IF(COUNTIF($D$11:D58,D58)&gt;1,0,ROUNDUP(MAX(SUMIF($D$11:$D$78,D58,$F$11:$F$78),G58)/H58,0)*H58))</x:f>
        <x:v>100</x:v>
      </x:c>
      <x:c r="J58" t="n">
        <x:v>100</x:v>
      </x:c>
      <x:c r="K58" s="26" t="n">
        <x:v>0.0111</x:v>
      </x:c>
      <x:c r="L58" s="27" t="n">
        <x:f>IF(K58="","",ROUND(F58*K58,4))</x:f>
        <x:v>0.111</x:v>
      </x:c>
      <x:c r="M58" s="27" t="n">
        <x:f>IF(OR(K58="",I58="",N58=""),"",IF(N58&gt;=I58,ROUND(I58*K58,4),""))</x:f>
        <x:v>1.11</x:v>
      </x:c>
      <x:c r="N58" t="n">
        <x:v>1192600</x:v>
      </x:c>
      <x:c r="O58" t="str">
        <x:v>Listing snapshot</x:v>
      </x:c>
      <x:c r="P58" s="16" t="n">
        <x:v>46300</x:v>
      </x:c>
      <x:c r="Q58" t="str">
        <x:v>2026-10-05</x:v>
      </x:c>
      <x:c r="R58"/>
      <x:c r="S58" t="str">
        <x:v>https://www.lcsc.com/product-detail/C1591.html</x:v>
      </x:c>
    </x:row>
    <x:row r="59" ht="36" customHeight="1">
      <x:c r="A59" s="25" t="str">
        <x:v>C122, C123, C124, C125</x:v>
      </x:c>
      <x:c r="B59" s="25" t="str">
        <x:v>AO LDO 1uF X7R 10V capacitors</x:v>
      </x:c>
      <x:c r="C59" s="25" t="str">
        <x:v>Taiyo Yuden</x:v>
      </x:c>
      <x:c r="D59" s="25" t="str">
        <x:v>LMK107B7105KA-T</x:v>
      </x:c>
      <x:c r="E59" s="25" t="str">
        <x:v>C92806</x:v>
      </x:c>
      <x:c r="F59" s="25" t="n">
        <x:v>4</x:v>
      </x:c>
      <x:c r="G59" t="n">
        <x:v>50</x:v>
      </x:c>
      <x:c r="H59" t="n">
        <x:v>50</x:v>
      </x:c>
      <x:c r="I59" t="n">
        <x:f>IF(OR(D59="",G59="",H59=""),"",IF(COUNTIF($D$11:D59,D59)&gt;1,0,ROUNDUP(MAX(SUMIF($D$11:$D$78,D59,$F$11:$F$78),G59)/H59,0)*H59))</x:f>
        <x:v>50</x:v>
      </x:c>
      <x:c r="J59" t="n">
        <x:v>50</x:v>
      </x:c>
      <x:c r="K59" s="26" t="n">
        <x:v>0.0231</x:v>
      </x:c>
      <x:c r="L59" s="27" t="n">
        <x:f>IF(K59="","",ROUND(F59*K59,4))</x:f>
        <x:v>0.0924</x:v>
      </x:c>
      <x:c r="M59" s="27" t="n">
        <x:f>IF(OR(K59="",I59="",N59=""),"",IF(N59&gt;=I59,ROUND(I59*K59,4),""))</x:f>
        <x:v>1.155</x:v>
      </x:c>
      <x:c r="N59" t="n">
        <x:v>3650</x:v>
      </x:c>
      <x:c r="O59" t="str">
        <x:v>Listing snapshot</x:v>
      </x:c>
      <x:c r="P59" s="16" t="n">
        <x:v>46300</x:v>
      </x:c>
      <x:c r="Q59" t="str">
        <x:v>2026-10-05</x:v>
      </x:c>
      <x:c r="R59"/>
      <x:c r="S59" t="str">
        <x:v>https://www.lcsc.com/es/product-detail/C92806.html</x:v>
      </x:c>
    </x:row>
    <x:row r="60" ht="36" customHeight="1">
      <x:c r="A60" s="25" t="str">
        <x:v>R120, R121</x:v>
      </x:c>
      <x:c r="B60" s="25" t="str">
        <x:v>Gauge I2C 4.7k resistors</x:v>
      </x:c>
      <x:c r="C60" s="25" t="str">
        <x:v>YAGEO</x:v>
      </x:c>
      <x:c r="D60" s="25" t="str">
        <x:v>RC0603FR-074K7L</x:v>
      </x:c>
      <x:c r="E60" s="25" t="str">
        <x:v>C99782</x:v>
      </x:c>
      <x:c r="F60" s="25" t="n">
        <x:v>2</x:v>
      </x:c>
      <x:c r="G60" t="n">
        <x:v>100</x:v>
      </x:c>
      <x:c r="H60" t="n">
        <x:v>100</x:v>
      </x:c>
      <x:c r="I60" t="n">
        <x:f>IF(OR(D60="",G60="",H60=""),"",IF(COUNTIF($D$11:D60,D60)&gt;1,0,ROUNDUP(MAX(SUMIF($D$11:$D$78,D60,$F$11:$F$78),G60)/H60,0)*H60))</x:f>
        <x:v>0</x:v>
      </x:c>
      <x:c r="J60" t="n">
        <x:v>100</x:v>
      </x:c>
      <x:c r="K60" s="26" t="n">
        <x:v>0.0011</x:v>
      </x:c>
      <x:c r="L60" s="27" t="n">
        <x:f>IF(K60="","",ROUND(F60*K60,4))</x:f>
        <x:v>0.0022</x:v>
      </x:c>
      <x:c r="M60" s="27" t="str">
        <x:f>IF(OR(K60="",I60="",N60=""),"",IF(N60&gt;=I60,ROUND(I60*K60,4),""))</x:f>
      </x:c>
      <x:c r="N60" t="n">
        <x:v>1575400</x:v>
      </x:c>
      <x:c r="O60" t="str">
        <x:v>Listing snapshot</x:v>
      </x:c>
      <x:c r="P60" s="16" t="n">
        <x:v>46300</x:v>
      </x:c>
      <x:c r="Q60" t="str">
        <x:v>2026-10-05</x:v>
      </x:c>
      <x:c r="R60"/>
      <x:c r="S60" t="str">
        <x:v>https://www.lcsc.com/product-detail/C99782.html</x:v>
      </x:c>
    </x:row>
    <x:row r="61" ht="36" customHeight="1">
      <x:c r="A61" s="25" t="str">
        <x:v>R122</x:v>
      </x:c>
      <x:c r="B61" s="25" t="str">
        <x:v>Gauge 47k resistor</x:v>
      </x:c>
      <x:c r="C61" s="25" t="str">
        <x:v>YAGEO</x:v>
      </x:c>
      <x:c r="D61" s="25" t="str">
        <x:v>RC0603FR-0747KL</x:v>
      </x:c>
      <x:c r="E61" s="25" t="str">
        <x:v>C105579</x:v>
      </x:c>
      <x:c r="F61" s="25" t="n">
        <x:v>1</x:v>
      </x:c>
      <x:c r="G61" t="n">
        <x:v>100</x:v>
      </x:c>
      <x:c r="H61" t="n">
        <x:v>100</x:v>
      </x:c>
      <x:c r="I61" t="n">
        <x:f>IF(OR(D61="",G61="",H61=""),"",IF(COUNTIF($D$11:D61,D61)&gt;1,0,ROUNDUP(MAX(SUMIF($D$11:$D$78,D61,$F$11:$F$78),G61)/H61,0)*H61))</x:f>
        <x:v>100</x:v>
      </x:c>
      <x:c r="J61" t="n">
        <x:v>100</x:v>
      </x:c>
      <x:c r="K61" s="26" t="n">
        <x:v>0.0012</x:v>
      </x:c>
      <x:c r="L61" s="27" t="n">
        <x:f>IF(K61="","",ROUND(F61*K61,4))</x:f>
        <x:v>0.0012</x:v>
      </x:c>
      <x:c r="M61" s="27" t="n">
        <x:f>IF(OR(K61="",I61="",N61=""),"",IF(N61&gt;=I61,ROUND(I61*K61,4),""))</x:f>
        <x:v>0.12</x:v>
      </x:c>
      <x:c r="N61" t="n">
        <x:v>887500</x:v>
      </x:c>
      <x:c r="O61" t="str">
        <x:v>Listing snapshot</x:v>
      </x:c>
      <x:c r="P61" s="16" t="n">
        <x:v>46300</x:v>
      </x:c>
      <x:c r="Q61" t="str">
        <x:v>2026-10-05</x:v>
      </x:c>
      <x:c r="R61"/>
      <x:c r="S61" t="str">
        <x:v>https://www.lcsc.com/product-detail/C105579.html</x:v>
      </x:c>
    </x:row>
    <x:row r="62" ht="36" customHeight="1">
      <x:c r="A62" s="25" t="str">
        <x:v>U15</x:v>
      </x:c>
      <x:c r="B62" s="25" t="str">
        <x:v>3.8V Bluetooth buck-boost</x:v>
      </x:c>
      <x:c r="C62" s="25" t="str">
        <x:v>TI</x:v>
      </x:c>
      <x:c r="D62" s="25" t="str">
        <x:v>TPS63802DLAR</x:v>
      </x:c>
      <x:c r="E62" s="25" t="str">
        <x:v>C2845237</x:v>
      </x:c>
      <x:c r="F62" s="25" t="n">
        <x:v>1</x:v>
      </x:c>
      <x:c r="G62" t="n">
        <x:v>1</x:v>
      </x:c>
      <x:c r="H62" t="n">
        <x:v>1</x:v>
      </x:c>
      <x:c r="I62" t="n">
        <x:f>IF(OR(D62="",G62="",H62=""),"",IF(COUNTIF($D$11:D62,D62)&gt;1,0,ROUNDUP(MAX(SUMIF($D$11:$D$78,D62,$F$11:$F$78),G62)/H62,0)*H62))</x:f>
        <x:v>0</x:v>
      </x:c>
      <x:c r="J62" t="n">
        <x:v>1</x:v>
      </x:c>
      <x:c r="K62" s="26" t="n">
        <x:v>0.9773</x:v>
      </x:c>
      <x:c r="L62" s="27" t="n">
        <x:f>IF(K62="","",ROUND(F62*K62,4))</x:f>
        <x:v>0.9773</x:v>
      </x:c>
      <x:c r="M62" s="27" t="str">
        <x:f>IF(OR(K62="",I62="",N62=""),"",IF(N62&gt;=I62,ROUND(I62*K62,4),""))</x:f>
      </x:c>
      <x:c r="N62" t="n">
        <x:v>16705</x:v>
      </x:c>
      <x:c r="O62" t="str">
        <x:v>Listing snapshot</x:v>
      </x:c>
      <x:c r="P62" s="16" t="n">
        <x:v>46299</x:v>
      </x:c>
      <x:c r="Q62" t="str">
        <x:v>2026-10-04</x:v>
      </x:c>
      <x:c r="R62"/>
      <x:c r="S62" t="str">
        <x:v>https://www.lcsc.com/product-detail/C2845237.html</x:v>
      </x:c>
    </x:row>
    <x:row r="63" ht="36" customHeight="1">
      <x:c r="A63" s="25" t="str">
        <x:v>L2</x:v>
      </x:c>
      <x:c r="B63" s="25" t="str">
        <x:v>0.47uH codec buck-boost inductor</x:v>
      </x:c>
      <x:c r="C63" s="25" t="str">
        <x:v>Coilcraft</x:v>
      </x:c>
      <x:c r="D63" s="25" t="str">
        <x:v>XFL4015-471MEC</x:v>
      </x:c>
      <x:c r="E63" s="25" t="str">
        <x:v>C18221164</x:v>
      </x:c>
      <x:c r="F63" s="25" t="n">
        <x:v>1</x:v>
      </x:c>
      <x:c r="G63" t="n">
        <x:v>1</x:v>
      </x:c>
      <x:c r="H63" t="n">
        <x:v>1</x:v>
      </x:c>
      <x:c r="I63" t="n">
        <x:f>IF(OR(D63="",G63="",H63=""),"",IF(COUNTIF($D$11:D63,D63)&gt;1,0,ROUNDUP(MAX(SUMIF($D$11:$D$78,D63,$F$11:$F$78),G63)/H63,0)*H63))</x:f>
        <x:v>2</x:v>
      </x:c>
      <x:c r="J63" t="n">
        <x:v>1</x:v>
      </x:c>
      <x:c r="K63" s="26" t="n">
        <x:v>4.2515</x:v>
      </x:c>
      <x:c r="L63" s="27" t="n">
        <x:f>IF(K63="","",ROUND(F63*K63,4))</x:f>
        <x:v>4.2515</x:v>
      </x:c>
      <x:c r="M63" s="27" t="n">
        <x:f>IF(OR(K63="",I63="",N63=""),"",IF(N63&gt;=I63,ROUND(I63*K63,4),""))</x:f>
        <x:v>8.503</x:v>
      </x:c>
      <x:c r="N63" t="n">
        <x:v>2773</x:v>
      </x:c>
      <x:c r="O63" t="str">
        <x:v>Listing snapshot</x:v>
      </x:c>
      <x:c r="P63" s="16" t="n">
        <x:v>46299</x:v>
      </x:c>
      <x:c r="Q63" t="str">
        <x:v>2026-10-04</x:v>
      </x:c>
      <x:c r="R63" t="str">
        <x:v>Same MPN as L3; listing stock and tier are shared.</x:v>
      </x:c>
      <x:c r="S63" t="str">
        <x:v>https://www.lcsc.com/product-detail/C18221164.html</x:v>
      </x:c>
    </x:row>
    <x:row r="64" ht="36" customHeight="1">
      <x:c r="A64" s="25" t="str">
        <x:v>L3</x:v>
      </x:c>
      <x:c r="B64" s="25" t="str">
        <x:v>Bluetooth buck-boost 0.47uH inductor</x:v>
      </x:c>
      <x:c r="C64" s="25" t="str">
        <x:v>Coilcraft</x:v>
      </x:c>
      <x:c r="D64" s="25" t="str">
        <x:v>XFL4015-471MEC</x:v>
      </x:c>
      <x:c r="E64" s="25" t="str">
        <x:v>C18221164</x:v>
      </x:c>
      <x:c r="F64" s="25" t="n">
        <x:v>1</x:v>
      </x:c>
      <x:c r="G64" t="n">
        <x:v>1</x:v>
      </x:c>
      <x:c r="H64" t="n">
        <x:v>1</x:v>
      </x:c>
      <x:c r="I64" t="n">
        <x:f>IF(OR(D64="",G64="",H64=""),"",IF(COUNTIF($D$11:D64,D64)&gt;1,0,ROUNDUP(MAX(SUMIF($D$11:$D$78,D64,$F$11:$F$78),G64)/H64,0)*H64))</x:f>
        <x:v>0</x:v>
      </x:c>
      <x:c r="J64" t="n">
        <x:v>1</x:v>
      </x:c>
      <x:c r="K64" s="26" t="n">
        <x:v>4.2515</x:v>
      </x:c>
      <x:c r="L64" s="27" t="n">
        <x:f>IF(K64="","",ROUND(F64*K64,4))</x:f>
        <x:v>4.2515</x:v>
      </x:c>
      <x:c r="M64" s="27" t="str">
        <x:f>IF(OR(K64="",I64="",N64=""),"",IF(N64&gt;=I64,ROUND(I64*K64,4),""))</x:f>
      </x:c>
      <x:c r="N64" t="n">
        <x:v>2773</x:v>
      </x:c>
      <x:c r="O64" t="str">
        <x:v>Listing snapshot</x:v>
      </x:c>
      <x:c r="P64" s="16" t="n">
        <x:v>46299</x:v>
      </x:c>
      <x:c r="Q64" t="str">
        <x:v>2026-10-04</x:v>
      </x:c>
      <x:c r="R64"/>
      <x:c r="S64" t="str">
        <x:v>https://www.lcsc.com/product-detail/C18221164.html</x:v>
      </x:c>
    </x:row>
    <x:row r="65" ht="36" customHeight="1">
      <x:c r="A65" s="25" t="str">
        <x:v>R140</x:v>
      </x:c>
      <x:c r="B65" s="25" t="str">
        <x:v>78.7k 1% codec feedback divider resistor</x:v>
      </x:c>
      <x:c r="C65" s="25" t="str">
        <x:v>SAE</x:v>
      </x:c>
      <x:c r="D65" s="25" t="str">
        <x:v>1RC0603F7872</x:v>
      </x:c>
      <x:c r="E65" s="25" t="str">
        <x:v>C54531588</x:v>
      </x:c>
      <x:c r="F65" s="25" t="n">
        <x:v>1</x:v>
      </x:c>
      <x:c r="G65" t="n">
        <x:v>100</x:v>
      </x:c>
      <x:c r="H65" t="n">
        <x:v>100</x:v>
      </x:c>
      <x:c r="I65" t="n">
        <x:f>IF(OR(D65="",G65="",H65=""),"",IF(COUNTIF($D$11:D65,D65)&gt;1,0,ROUNDUP(MAX(SUMIF($D$11:$D$78,D65,$F$11:$F$78),G65)/H65,0)*H65))</x:f>
        <x:v>100</x:v>
      </x:c>
      <x:c r="J65" t="n">
        <x:v>100</x:v>
      </x:c>
      <x:c r="K65" s="26" t="n">
        <x:v>0.002</x:v>
      </x:c>
      <x:c r="L65" s="27" t="n">
        <x:f>IF(K65="","",ROUND(F65*K65,4))</x:f>
        <x:v>0.002</x:v>
      </x:c>
      <x:c r="M65" s="27" t="n">
        <x:f>IF(OR(K65="",I65="",N65=""),"",IF(N65&gt;=I65,ROUND(I65*K65,4),""))</x:f>
        <x:v>0.2</x:v>
      </x:c>
      <x:c r="N65" t="n">
        <x:v>4700</x:v>
      </x:c>
      <x:c r="O65" t="str">
        <x:v>Listing snapshot</x:v>
      </x:c>
      <x:c r="P65" s="16" t="n">
        <x:v>46300</x:v>
      </x:c>
      <x:c r="Q65" t="str">
        <x:v>2026-10-05</x:v>
      </x:c>
      <x:c r="R65" t="str">
        <x:v>In stock 4,700; tier $0.002 at 100+. Datasheet confirms 0603, ±1%, ±100ppm/°C and −55 to +155°C.</x:v>
      </x:c>
      <x:c r="S65" t="str">
        <x:v>https://www.lcsc.com/product-detail/C54531588.html</x:v>
      </x:c>
    </x:row>
    <x:row r="66" ht="36" customHeight="1">
      <x:c r="A66" s="25" t="str">
        <x:v>R141</x:v>
      </x:c>
      <x:c r="B66" s="25" t="str">
        <x:v>9.1k 1% codec feedback divider resistor</x:v>
      </x:c>
      <x:c r="C66" s="25" t="str">
        <x:v>YAGEO</x:v>
      </x:c>
      <x:c r="D66" s="25" t="str">
        <x:v>RC0603FR-079K1L</x:v>
      </x:c>
      <x:c r="E66" s="25" t="str">
        <x:v>C114639</x:v>
      </x:c>
      <x:c r="F66" s="25" t="n">
        <x:v>1</x:v>
      </x:c>
      <x:c r="G66" t="n">
        <x:v>100</x:v>
      </x:c>
      <x:c r="H66" t="n">
        <x:v>100</x:v>
      </x:c>
      <x:c r="I66" t="n">
        <x:f>IF(OR(D66="",G66="",H66=""),"",IF(COUNTIF($D$11:D66,D66)&gt;1,0,ROUNDUP(MAX(SUMIF($D$11:$D$78,D66,$F$11:$F$78),G66)/H66,0)*H66))</x:f>
        <x:v>100</x:v>
      </x:c>
      <x:c r="J66" t="n">
        <x:v>100</x:v>
      </x:c>
      <x:c r="K66" s="26" t="n">
        <x:v>0.0034</x:v>
      </x:c>
      <x:c r="L66" s="27" t="n">
        <x:f>IF(K66="","",ROUND(F66*K66,4))</x:f>
        <x:v>0.0034</x:v>
      </x:c>
      <x:c r="M66" s="27" t="n">
        <x:f>IF(OR(K66="",I66="",N66=""),"",IF(N66&gt;=I66,ROUND(I66*K66,4),""))</x:f>
        <x:v>0.34</x:v>
      </x:c>
      <x:c r="N66" t="n">
        <x:v>296500</x:v>
      </x:c>
      <x:c r="O66" t="str">
        <x:v>Listing snapshot</x:v>
      </x:c>
      <x:c r="P66" s="16" t="n">
        <x:v>46300</x:v>
      </x:c>
      <x:c r="Q66" t="str">
        <x:v>2026-10-05</x:v>
      </x:c>
      <x:c r="R66" t="str">
        <x:v>In stock 296,500; tier $0.0034 at 100+. 0603, ±1%, ±100ppm/°C, −55 to +155°C. Distinct MPN from R151.</x:v>
      </x:c>
      <x:c r="S66" t="str">
        <x:v>https://www.lcsc.com/product-detail/C114639.html</x:v>
      </x:c>
    </x:row>
    <x:row r="67" ht="36" customHeight="1">
      <x:c r="A67" s="25" t="str">
        <x:v>R150</x:v>
      </x:c>
      <x:c r="B67" s="25" t="str">
        <x:v>604k 1% feedback resistor</x:v>
      </x:c>
      <x:c r="C67" s="25" t="str">
        <x:v>FOJAN</x:v>
      </x:c>
      <x:c r="D67" s="25" t="str">
        <x:v>FRC0603F6043TS</x:v>
      </x:c>
      <x:c r="E67" s="25" t="str">
        <x:v>C2933246</x:v>
      </x:c>
      <x:c r="F67" s="25" t="n">
        <x:v>1</x:v>
      </x:c>
      <x:c r="G67" t="n">
        <x:v>100</x:v>
      </x:c>
      <x:c r="H67" t="n">
        <x:v>100</x:v>
      </x:c>
      <x:c r="I67" t="n">
        <x:f>IF(OR(D67="",G67="",H67=""),"",IF(COUNTIF($D$11:D67,D67)&gt;1,0,ROUNDUP(MAX(SUMIF($D$11:$D$78,D67,$F$11:$F$78),G67)/H67,0)*H67))</x:f>
        <x:v>100</x:v>
      </x:c>
      <x:c r="J67" t="n">
        <x:v>100</x:v>
      </x:c>
      <x:c r="K67" s="26" t="n">
        <x:v>0.0025</x:v>
      </x:c>
      <x:c r="L67" s="27" t="n">
        <x:f>IF(K67="","",ROUND(F67*K67,4))</x:f>
        <x:v>0.0025</x:v>
      </x:c>
      <x:c r="M67" s="27" t="n">
        <x:f>IF(OR(K67="",I67="",N67=""),"",IF(N67&gt;=I67,ROUND(I67*K67,4),""))</x:f>
        <x:v>0.25</x:v>
      </x:c>
      <x:c r="N67" t="n">
        <x:v>54400</x:v>
      </x:c>
      <x:c r="O67" t="str">
        <x:v>Listing snapshot</x:v>
      </x:c>
      <x:c r="P67" s="16" t="n">
        <x:v>46300</x:v>
      </x:c>
      <x:c r="Q67" t="str">
        <x:v>2026-10-05</x:v>
      </x:c>
      <x:c r="R67"/>
      <x:c r="S67" t="str">
        <x:v>https://www.lcsc.com/product-detail/C2933246.html</x:v>
      </x:c>
    </x:row>
    <x:row r="68" ht="36" customHeight="1">
      <x:c r="A68" s="25" t="str">
        <x:v>R151</x:v>
      </x:c>
      <x:c r="B68" s="25" t="str">
        <x:v>91k 1% feedback resistor</x:v>
      </x:c>
      <x:c r="C68" s="25" t="str">
        <x:v>YAGEO</x:v>
      </x:c>
      <x:c r="D68" s="25" t="str">
        <x:v>AC0603FR-0791KL</x:v>
      </x:c>
      <x:c r="E68" s="25" t="str">
        <x:v>C228098</x:v>
      </x:c>
      <x:c r="F68" s="25" t="n">
        <x:v>1</x:v>
      </x:c>
      <x:c r="G68" t="n">
        <x:v>100</x:v>
      </x:c>
      <x:c r="H68" t="n">
        <x:v>100</x:v>
      </x:c>
      <x:c r="I68" t="n">
        <x:f>IF(OR(D68="",G68="",H68=""),"",IF(COUNTIF($D$11:D68,D68)&gt;1,0,ROUNDUP(MAX(SUMIF($D$11:$D$78,D68,$F$11:$F$78),G68)/H68,0)*H68))</x:f>
        <x:v>100</x:v>
      </x:c>
      <x:c r="J68" t="n">
        <x:v>100</x:v>
      </x:c>
      <x:c r="K68" s="26" t="n">
        <x:v>0.0061</x:v>
      </x:c>
      <x:c r="L68" s="27" t="n">
        <x:f>IF(K68="","",ROUND(F68*K68,4))</x:f>
        <x:v>0.0061</x:v>
      </x:c>
      <x:c r="M68" s="27" t="n">
        <x:f>IF(OR(K68="",I68="",N68=""),"",IF(N68&gt;=I68,ROUND(I68*K68,4),""))</x:f>
        <x:v>0.61</x:v>
      </x:c>
      <x:c r="N68" t="n">
        <x:v>700</x:v>
      </x:c>
      <x:c r="O68" t="str">
        <x:v>Listing snapshot</x:v>
      </x:c>
      <x:c r="P68" s="16" t="n">
        <x:v>46300</x:v>
      </x:c>
      <x:c r="Q68" t="str">
        <x:v>2026-10-05</x:v>
      </x:c>
      <x:c r="R68"/>
      <x:c r="S68" t="str">
        <x:v>https://www.lcsc.com/product-detail/C228098.html</x:v>
      </x:c>
    </x:row>
    <x:row r="69" ht="36" customHeight="1">
      <x:c r="A69" s="25" t="str">
        <x:v>R152, R153, R154, R160</x:v>
      </x:c>
      <x:c r="B69" s="25" t="str">
        <x:v>100k EN / MODE / bleeder / BOOT0 pull-down resistors</x:v>
      </x:c>
      <x:c r="C69" s="25" t="str">
        <x:v>YAGEO</x:v>
      </x:c>
      <x:c r="D69" s="25" t="str">
        <x:v>RC0603FR-07100KL</x:v>
      </x:c>
      <x:c r="E69" s="25" t="str">
        <x:v>C14675</x:v>
      </x:c>
      <x:c r="F69" s="25" t="n">
        <x:v>4</x:v>
      </x:c>
      <x:c r="G69" t="n">
        <x:v>100</x:v>
      </x:c>
      <x:c r="H69" t="n">
        <x:v>100</x:v>
      </x:c>
      <x:c r="I69" t="n">
        <x:f>IF(OR(D69="",G69="",H69=""),"",IF(COUNTIF($D$11:D69,D69)&gt;1,0,ROUNDUP(MAX(SUMIF($D$11:$D$78,D69,$F$11:$F$78),G69)/H69,0)*H69))</x:f>
        <x:v>0</x:v>
      </x:c>
      <x:c r="J69" t="n">
        <x:v>100</x:v>
      </x:c>
      <x:c r="K69" s="26" t="n">
        <x:v>0.0036</x:v>
      </x:c>
      <x:c r="L69" s="27" t="n">
        <x:f>IF(K69="","",ROUND(F69*K69,4))</x:f>
        <x:v>0.0144</x:v>
      </x:c>
      <x:c r="M69" s="27" t="str">
        <x:f>IF(OR(K69="",I69="",N69=""),"",IF(N69&gt;=I69,ROUND(I69*K69,4),""))</x:f>
      </x:c>
      <x:c r="N69" t="n">
        <x:v>7813400</x:v>
      </x:c>
      <x:c r="O69" t="str">
        <x:v>Listing snapshot</x:v>
      </x:c>
      <x:c r="P69" s="16" t="n">
        <x:v>46300</x:v>
      </x:c>
      <x:c r="Q69" t="str">
        <x:v>2026-10-05</x:v>
      </x:c>
      <x:c r="R69"/>
      <x:c r="S69" t="str">
        <x:v>https://www.lcsc.com/product-detail/C14675.html</x:v>
      </x:c>
    </x:row>
    <x:row r="70" ht="36" customHeight="1">
      <x:c r="A70" s="25" t="str">
        <x:v>R142</x:v>
      </x:c>
      <x:c r="B70" s="25" t="str">
        <x:v>100k EN pulldown resistor</x:v>
      </x:c>
      <x:c r="C70" s="25" t="str">
        <x:v>YAGEO</x:v>
      </x:c>
      <x:c r="D70" s="25" t="str">
        <x:v>RC0603FR-07100KL</x:v>
      </x:c>
      <x:c r="E70" s="25" t="str">
        <x:v>C14675</x:v>
      </x:c>
      <x:c r="F70" s="25" t="n">
        <x:v>1</x:v>
      </x:c>
      <x:c r="G70" t="n">
        <x:v>100</x:v>
      </x:c>
      <x:c r="H70" t="n">
        <x:v>100</x:v>
      </x:c>
      <x:c r="I70" t="n">
        <x:f>IF(OR(D70="",G70="",H70=""),"",IF(COUNTIF($D$11:D70,D70)&gt;1,0,ROUNDUP(MAX(SUMIF($D$11:$D$78,D70,$F$11:$F$78),G70)/H70,0)*H70))</x:f>
        <x:v>0</x:v>
      </x:c>
      <x:c r="J70" t="n">
        <x:v>100</x:v>
      </x:c>
      <x:c r="K70" s="26" t="n">
        <x:v>0.0036</x:v>
      </x:c>
      <x:c r="L70" s="27" t="n">
        <x:f>IF(K70="","",ROUND(F70*K70,4))</x:f>
        <x:v>0.0036</x:v>
      </x:c>
      <x:c r="M70" s="27" t="str">
        <x:f>IF(OR(K70="",I70="",N70=""),"",IF(N70&gt;=I70,ROUND(I70*K70,4),""))</x:f>
      </x:c>
      <x:c r="N70" t="n">
        <x:v>7813400</x:v>
      </x:c>
      <x:c r="O70" t="str">
        <x:v>Listing snapshot</x:v>
      </x:c>
      <x:c r="P70" s="16" t="n">
        <x:v>46300</x:v>
      </x:c>
      <x:c r="Q70" t="str">
        <x:v>2026-10-05</x:v>
      </x:c>
      <x:c r="R70" t="str">
        <x:v>Existing selected resistor; separated from R141 after divider value change.</x:v>
      </x:c>
      <x:c r="S70" t="str">
        <x:v>https://www.lcsc.com/product-detail/C14675.html</x:v>
      </x:c>
    </x:row>
    <x:row r="71" ht="36" customHeight="1">
      <x:c r="A71" s="25" t="str">
        <x:v>U19</x:v>
      </x:c>
      <x:c r="B71" s="25" t="str">
        <x:v>USB auxiliary 5V / PD controller VDD LDO</x:v>
      </x:c>
      <x:c r="C71" s="25" t="str">
        <x:v>Texas Instruments</x:v>
      </x:c>
      <x:c r="D71" s="25" t="str">
        <x:v>TPS7B8450QWDRBRQ1</x:v>
      </x:c>
      <x:c r="E71" s="25" t="str">
        <x:v>C3751394</x:v>
      </x:c>
      <x:c r="F71" s="25" t="n">
        <x:v>1</x:v>
      </x:c>
      <x:c r="G71" t="n">
        <x:v>1</x:v>
      </x:c>
      <x:c r="H71" t="n">
        <x:v>1</x:v>
      </x:c>
      <x:c r="I71" t="n">
        <x:f>IF(OR(D71="",G71="",H71=""),"",IF(COUNTIF($D$11:D71,D71)&gt;1,0,ROUNDUP(MAX(SUMIF($D$11:$D$78,D71,$F$11:$F$78),G71)/H71,0)*H71))</x:f>
        <x:v>1</x:v>
      </x:c>
      <x:c r="J71" t="n">
        <x:v>1</x:v>
      </x:c>
      <x:c r="K71" s="26" t="n">
        <x:v>1.3452</x:v>
      </x:c>
      <x:c r="L71" s="27" t="n">
        <x:f>IF(K71="","",ROUND(F71*K71,4))</x:f>
        <x:v>1.3452</x:v>
      </x:c>
      <x:c r="M71" s="27" t="n">
        <x:f>IF(OR(K71="",I71="",N71=""),"",IF(N71&gt;=I71,ROUND(I71*K71,4),""))</x:f>
        <x:v>1.3452</x:v>
      </x:c>
      <x:c r="N71" t="n">
        <x:v>1</x:v>
      </x:c>
      <x:c r="O71" t="str">
        <x:v>Listing snapshot</x:v>
      </x:c>
      <x:c r="P71" s="16" t="n">
        <x:v>46300</x:v>
      </x:c>
      <x:c r="Q71" t="str">
        <x:v>2026-10-05</x:v>
      </x:c>
      <x:c r="R71" t="str">
        <x:v>LCSC snapshot 2026-10-05: 1 pc in stock; $1.3452 at 1+, MOQ/multiple 1 (standard pack 3000; LCSC allows single-piece purchase). Stock is thin and may sell before ordering. TI TPS7B84-Q1: fixed 5V, 150mA, 40V input; startup/surge/dropout and thermal qualification open. Datasheet: ../datasheets/TPS7B84-Q1.pdf.</x:v>
      </x:c>
      <x:c r="S71" t="str">
        <x:v>https://www.lcsc.com/product-detail/C3751394.html</x:v>
      </x:c>
    </x:row>
    <x:row r="72" ht="36" customHeight="1">
      <x:c r="A72" s="25" t="str">
        <x:v>U20</x:v>
      </x:c>
      <x:c r="B72" s="25" t="str">
        <x:v>USB and system logic priority mux</x:v>
      </x:c>
      <x:c r="C72" s="25" t="str">
        <x:v>Texas Instruments</x:v>
      </x:c>
      <x:c r="D72" s="25" t="str">
        <x:v>TPS2116DRLR</x:v>
      </x:c>
      <x:c r="E72" s="25" t="str">
        <x:v>C3235557</x:v>
      </x:c>
      <x:c r="F72" s="25" t="n">
        <x:v>1</x:v>
      </x:c>
      <x:c r="G72"/>
      <x:c r="H72"/>
      <x:c r="I72" t="str">
        <x:f>IF(OR(D72="",G72="",H72=""),"",IF(COUNTIF($D$11:D72,D72)&gt;1,0,ROUNDUP(MAX(SUMIF($D$11:$D$78,D72,$F$11:$F$78),G72)/H72,0)*H72))</x:f>
      </x:c>
      <x:c r="J72"/>
      <x:c r="K72" s="26"/>
      <x:c r="L72" s="27" t="str">
        <x:f>IF(K72="","",ROUND(F72*K72,4))</x:f>
      </x:c>
      <x:c r="M72" s="27" t="str">
        <x:f>IF(OR(K72="",I72="",N72=""),"",IF(N72&gt;=I72,ROUND(I72*K72,4),""))</x:f>
      </x:c>
      <x:c r="N72"/>
      <x:c r="O72" t="str">
        <x:v>Stock/price unverified</x:v>
      </x:c>
      <x:c r="P72" s="16"/>
      <x:c r="Q72"/>
      <x:c r="R72" t="str">
        <x:v>Selected MPN/LCSC mapping; current stock and price not verified.</x:v>
      </x:c>
      <x:c r="S72" t="str">
        <x:v>https://www.lcsc.com/product-detail/C3235557.html</x:v>
      </x:c>
    </x:row>
    <x:row r="73" ht="36" customHeight="1">
      <x:c r="A73" s="25" t="str">
        <x:v>R124</x:v>
      </x:c>
      <x:c r="B73" s="25" t="str">
        <x:v>180k 1% USB-priority threshold divider resistor</x:v>
      </x:c>
      <x:c r="C73" s="25" t="str">
        <x:v>YAGEO</x:v>
      </x:c>
      <x:c r="D73" s="25" t="str">
        <x:v>RC0603FR-07180KL</x:v>
      </x:c>
      <x:c r="E73" s="25" t="str">
        <x:v>C123419</x:v>
      </x:c>
      <x:c r="F73" s="25" t="n">
        <x:v>1</x:v>
      </x:c>
      <x:c r="G73" t="n">
        <x:v>100</x:v>
      </x:c>
      <x:c r="H73" t="n">
        <x:v>100</x:v>
      </x:c>
      <x:c r="I73" t="n">
        <x:f>IF(OR(D73="",G73="",H73=""),"",IF(COUNTIF($D$11:D73,D73)&gt;1,0,ROUNDUP(MAX(SUMIF($D$11:$D$78,D73,$F$11:$F$78),G73)/H73,0)*H73))</x:f>
        <x:v>0</x:v>
      </x:c>
      <x:c r="J73" t="n">
        <x:v>100</x:v>
      </x:c>
      <x:c r="K73" s="26" t="n">
        <x:v>0.0012</x:v>
      </x:c>
      <x:c r="L73" s="27" t="n">
        <x:f>IF(K73="","",ROUND(F73*K73,4))</x:f>
        <x:v>0.0012</x:v>
      </x:c>
      <x:c r="M73" s="27" t="str">
        <x:f>IF(OR(K73="",I73="",N73=""),"",IF(N73&gt;=I73,ROUND(I73*K73,4),""))</x:f>
      </x:c>
      <x:c r="N73"/>
      <x:c r="O73" t="str">
        <x:v>Stock unverified; price snapshot</x:v>
      </x:c>
      <x:c r="P73" s="16" t="n">
        <x:v>46300</x:v>
      </x:c>
      <x:c r="Q73" t="str">
        <x:v>2026-10-05</x:v>
      </x:c>
      <x:c r="R73" t="str">
        <x:v>Observed listing tier: $0.0012 at MOQ100. Product page may be stale; stock is unverified.</x:v>
      </x:c>
      <x:c r="S73" t="str">
        <x:v>https://www.lcsc.com/product-detail/C123419.html</x:v>
      </x:c>
    </x:row>
    <x:row r="74" ht="36" customHeight="1">
      <x:c r="A74" s="25" t="str">
        <x:v>R125</x:v>
      </x:c>
      <x:c r="B74" s="25" t="str">
        <x:v>100k PR1 divider resistor</x:v>
      </x:c>
      <x:c r="C74" s="25" t="str">
        <x:v>YAGEO</x:v>
      </x:c>
      <x:c r="D74" s="25" t="str">
        <x:v>RC0603FR-07100KL</x:v>
      </x:c>
      <x:c r="E74" s="25" t="str">
        <x:v>C14675</x:v>
      </x:c>
      <x:c r="F74" s="25" t="n">
        <x:v>1</x:v>
      </x:c>
      <x:c r="G74" t="n">
        <x:v>100</x:v>
      </x:c>
      <x:c r="H74" t="n">
        <x:v>100</x:v>
      </x:c>
      <x:c r="I74" t="n">
        <x:f>IF(OR(D74="",G74="",H74=""),"",IF(COUNTIF($D$11:D74,D74)&gt;1,0,ROUNDUP(MAX(SUMIF($D$11:$D$78,D74,$F$11:$F$78),G74)/H74,0)*H74))</x:f>
        <x:v>0</x:v>
      </x:c>
      <x:c r="J74" t="n">
        <x:v>100</x:v>
      </x:c>
      <x:c r="K74" s="26" t="n">
        <x:v>0.0036</x:v>
      </x:c>
      <x:c r="L74" s="27" t="n">
        <x:f>IF(K74="","",ROUND(F74*K74,4))</x:f>
        <x:v>0.0036</x:v>
      </x:c>
      <x:c r="M74" s="27" t="str">
        <x:f>IF(OR(K74="",I74="",N74=""),"",IF(N74&gt;=I74,ROUND(I74*K74,4),""))</x:f>
      </x:c>
      <x:c r="N74" t="n">
        <x:v>7813400</x:v>
      </x:c>
      <x:c r="O74" t="str">
        <x:v>Listing snapshot</x:v>
      </x:c>
      <x:c r="P74" s="16" t="n">
        <x:v>46300</x:v>
      </x:c>
      <x:c r="Q74" t="str">
        <x:v>2026-10-05</x:v>
      </x:c>
      <x:c r="R74" t="str">
        <x:v>Reuse same selected MPN/LCSC mapping as existing 100k BOM rows; no additional MOQ order.</x:v>
      </x:c>
      <x:c r="S74" t="str">
        <x:v>https://www.lcsc.com/product-detail/C14675.html</x:v>
      </x:c>
    </x:row>
    <x:row r="75" ht="36" customHeight="1">
      <x:c r="A75" s="25" t="str">
        <x:v>U21</x:v>
      </x:c>
      <x:c r="B75" s="25" t="str">
        <x:v>Gauge undervoltage supervisor</x:v>
      </x:c>
      <x:c r="C75" s="25" t="str">
        <x:v>Texas Instruments</x:v>
      </x:c>
      <x:c r="D75" s="25" t="str">
        <x:v>TPS3839G33DBZR</x:v>
      </x:c>
      <x:c r="E75" s="25" t="str">
        <x:v>C485802</x:v>
      </x:c>
      <x:c r="F75" s="25" t="n">
        <x:v>1</x:v>
      </x:c>
      <x:c r="G75" t="n">
        <x:v>1</x:v>
      </x:c>
      <x:c r="H75" t="n">
        <x:v>1</x:v>
      </x:c>
      <x:c r="I75" t="n">
        <x:f>IF(OR(D75="",G75="",H75=""),"",IF(COUNTIF($D$11:D75,D75)&gt;1,0,ROUNDUP(MAX(SUMIF($D$11:$D$78,D75,$F$11:$F$78),G75)/H75,0)*H75))</x:f>
        <x:v>1</x:v>
      </x:c>
      <x:c r="J75" t="n">
        <x:v>1</x:v>
      </x:c>
      <x:c r="K75" s="26" t="n">
        <x:v>0.439</x:v>
      </x:c>
      <x:c r="L75" s="27" t="n">
        <x:f>IF(K75="","",ROUND(F75*K75,4))</x:f>
        <x:v>0.439</x:v>
      </x:c>
      <x:c r="M75" s="27" t="n">
        <x:f>IF(OR(K75="",I75="",N75=""),"",IF(N75&gt;=I75,ROUND(I75*K75,4),""))</x:f>
        <x:v>0.439</x:v>
      </x:c>
      <x:c r="N75" t="n">
        <x:v>3444</x:v>
      </x:c>
      <x:c r="O75" t="str">
        <x:v>Listing snapshot</x:v>
      </x:c>
      <x:c r="P75" s="16" t="n">
        <x:v>46300</x:v>
      </x:c>
      <x:c r="Q75" t="str">
        <x:v>2026-10-05</x:v>
      </x:c>
      <x:c r="R75"/>
      <x:c r="S75" t="str">
        <x:v>https://www.lcsc.com/product-detail/C485802.html</x:v>
      </x:c>
    </x:row>
    <x:row r="76" ht="36" customHeight="1">
      <x:c r="A76" s="25" t="str">
        <x:v>R126, R127</x:v>
      </x:c>
      <x:c r="B76" s="25" t="str">
        <x:v>Gauge signal-switch and supervisor gate pull-up/pull-down resistors</x:v>
      </x:c>
      <x:c r="C76" s="25" t="str">
        <x:v>YAGEO</x:v>
      </x:c>
      <x:c r="D76" s="25" t="str">
        <x:v>RC0603FR-071ML</x:v>
      </x:c>
      <x:c r="E76" s="25" t="str">
        <x:v>C105578</x:v>
      </x:c>
      <x:c r="F76" s="25" t="n">
        <x:v>2</x:v>
      </x:c>
      <x:c r="G76" t="n">
        <x:v>100</x:v>
      </x:c>
      <x:c r="H76" t="n">
        <x:v>100</x:v>
      </x:c>
      <x:c r="I76" t="n">
        <x:f>IF(OR(D76="",G76="",H76=""),"",IF(COUNTIF($D$11:D76,D76)&gt;1,0,ROUNDUP(MAX(SUMIF($D$11:$D$78,D76,$F$11:$F$78),G76)/H76,0)*H76))</x:f>
        <x:v>100</x:v>
      </x:c>
      <x:c r="J76" t="n">
        <x:v>100</x:v>
      </x:c>
      <x:c r="K76" s="26" t="n">
        <x:v>0.0056</x:v>
      </x:c>
      <x:c r="L76" s="27" t="n">
        <x:f>IF(K76="","",ROUND(F76*K76,4))</x:f>
        <x:v>0.0112</x:v>
      </x:c>
      <x:c r="M76" s="27" t="n">
        <x:f>IF(OR(K76="",I76="",N76=""),"",IF(N76&gt;=I76,ROUND(I76*K76,4),""))</x:f>
        <x:v>0.56</x:v>
      </x:c>
      <x:c r="N76" t="n">
        <x:v>359600</x:v>
      </x:c>
      <x:c r="O76" t="str">
        <x:v>Listing snapshot</x:v>
      </x:c>
      <x:c r="P76" s="16" t="n">
        <x:v>46300</x:v>
      </x:c>
      <x:c r="Q76" t="str">
        <x:v>2026-10-05</x:v>
      </x:c>
      <x:c r="R76"/>
      <x:c r="S76" t="str">
        <x:v>https://www.lcsc.com/product-detail/C105578.html</x:v>
      </x:c>
    </x:row>
    <x:row r="77" ht="36" customHeight="1">
      <x:c r="A77" s="25" t="str">
        <x:v>C161</x:v>
      </x:c>
      <x:c r="B77" s="25" t="str">
        <x:v>MCU VDD/VDDA 4.7uF bulk (DS12992 fig. 13)</x:v>
      </x:c>
      <x:c r="C77" s="25" t="str">
        <x:v>Samsung Electro-Mechanics</x:v>
      </x:c>
      <x:c r="D77" s="25" t="str">
        <x:v>CL10A475KO8NNNC</x:v>
      </x:c>
      <x:c r="E77" s="25" t="str">
        <x:v>C19666</x:v>
      </x:c>
      <x:c r="F77" s="25" t="n">
        <x:v>1</x:v>
      </x:c>
      <x:c r="G77" t="n">
        <x:v>10</x:v>
      </x:c>
      <x:c r="H77" t="n">
        <x:v>10</x:v>
      </x:c>
      <x:c r="I77" t="n">
        <x:f>IF(OR(D77="",G77="",H77=""),"",IF(COUNTIF($D$11:D77,D77)&gt;1,0,ROUNDUP(MAX(SUMIF($D$11:$D$78,D77,$F$11:$F$78),G77)/H77,0)*H77))</x:f>
        <x:v>10</x:v>
      </x:c>
      <x:c r="J77" t="n">
        <x:v>10</x:v>
      </x:c>
      <x:c r="K77" s="26" t="n">
        <x:v>0.0298</x:v>
      </x:c>
      <x:c r="L77" s="27" t="n">
        <x:f>IF(K77="","",ROUND(F77*K77,4))</x:f>
        <x:v>0.0298</x:v>
      </x:c>
      <x:c r="M77" s="27" t="n">
        <x:f>IF(OR(K77="",I77="",N77=""),"",IF(N77&gt;=I77,ROUND(I77*K77,4),""))</x:f>
        <x:v>0.298</x:v>
      </x:c>
      <x:c r="N77" t="n">
        <x:v>138390</x:v>
      </x:c>
      <x:c r="O77" t="str">
        <x:v>Listing snapshot, 2026-10-06</x:v>
      </x:c>
      <x:c r="P77" s="16" t="n">
        <x:v>46300</x:v>
      </x:c>
      <x:c r="Q77" t="str">
        <x:v>2026-10-06</x:v>
      </x:c>
      <x:c r="R77" t="str">
        <x:v>LCSC listing 4.7uF/16V X5R 0603; DC-bias derating at 3.0 V not checked.</x:v>
      </x:c>
      <x:c r="S77" t="str">
        <x:v>https://www.lcsc.com/product-detail/C19666.html</x:v>
      </x:c>
    </x:row>
    <x:row r="78" ht="42" customHeight="1">
      <x:c r="A78" s="21" t="str">
        <x:v>J6</x:v>
      </x:c>
      <x:c r="B78" s="21" t="str">
        <x:v>MCU SWD header 1x5 2.54 mm</x:v>
      </x:c>
      <x:c r="C78" s="21" t="str">
        <x:v>XYECONN</x:v>
      </x:c>
      <x:c r="D78" s="21" t="str">
        <x:v>XY-MTP254-1X5</x:v>
      </x:c>
      <x:c r="E78" s="21" t="str">
        <x:v>C54110162</x:v>
      </x:c>
      <x:c r="F78" s="21" t="n">
        <x:v>1</x:v>
      </x:c>
      <x:c r="G78" t="n">
        <x:v>10</x:v>
      </x:c>
      <x:c r="H78" t="n">
        <x:v>10</x:v>
      </x:c>
      <x:c r="I78" t="n">
        <x:f>IF(OR(D78="",G78="",H78=""),"",IF(COUNTIF($D$11:D78,D78)&gt;1,0,ROUNDUP(MAX(SUMIF($D$11:$D$78,D78,$F$11:$F$78),G78)/H78,0)*H78))</x:f>
        <x:v>10</x:v>
      </x:c>
      <x:c r="J78" t="n">
        <x:v>10</x:v>
      </x:c>
      <x:c r="K78" s="26" t="n">
        <x:v>0.0267</x:v>
      </x:c>
      <x:c r="L78" s="27" t="n">
        <x:f>IF(K78="","",ROUND(F78*K78,4))</x:f>
        <x:v>0.0267</x:v>
      </x:c>
      <x:c r="M78" s="27" t="n">
        <x:f>IF(OR(K78="",I78="",N78=""),"",IF(N78&gt;=I78,ROUND(I78*K78,4),""))</x:f>
        <x:v>0.267</x:v>
      </x:c>
      <x:c r="N78" t="n">
        <x:v>1830</x:v>
      </x:c>
      <x:c r="O78" t="str">
        <x:v>Listing snapshot, 2026-10-06</x:v>
      </x:c>
      <x:c r="P78" s="16" t="n">
        <x:v>46300</x:v>
      </x:c>
      <x:c r="Q78" t="str">
        <x:v>2026-10-06</x:v>
      </x:c>
      <x:c r="R78" t="str">
        <x:v>1x5 straight THT header; footprint PinHeader_1x05_P2.54mm_Vertical (stock KiCad STEP). Pin order 1 SWDIO 2 SWCLK 3 NRST 4 3V_AO 5 GND.</x:v>
      </x:c>
      <x:c r="S78" t="str">
        <x:v>https://www.lcsc.com/product-detail/C54110162.html</x:v>
      </x:c>
    </x:row>
    <x:row r="79" ht="42" customHeight="1">
      <x:c r="A79" s="21"/>
      <x:c r="B79" s="21"/>
      <x:c r="C79" s="21"/>
      <x:c r="D79" s="21"/>
      <x:c r="E79" s="21"/>
      <x:c r="F79" s="21"/>
      <x:c r="G79"/>
      <x:c r="H79"/>
      <x:c r="I79"/>
      <x:c r="J79"/>
      <x:c r="K79" s="26"/>
      <x:c r="L79" s="27"/>
      <x:c r="M79" s="27"/>
      <x:c r="N79"/>
      <x:c r="O79"/>
      <x:c r="P79" s="16"/>
      <x:c r="Q79"/>
      <x:c r="R79"/>
      <x:c r="S79"/>
    </x:row>
    <x:row r="80" ht="42" customHeight="1">
      <x:c r="A80" s="21" t="str">
        <x:v>U18 links a derived STEP with corrected exposed pad; manufacturer exact model remains unavailable.</x:v>
      </x:c>
      <x:c r="B80" s="21"/>
      <x:c r="C80" s="21"/>
      <x:c r="D80" s="21"/>
      <x:c r="E80" s="21"/>
      <x:c r="F80" s="21"/>
      <x:c r="G80"/>
      <x:c r="H80"/>
      <x:c r="I80"/>
      <x:c r="J80"/>
      <x:c r="K80" s="26"/>
      <x:c r="L80" s="27"/>
      <x:c r="M80" s="27"/>
      <x:c r="N80"/>
      <x:c r="O80"/>
      <x:c r="P80" s="16"/>
      <x:c r="Q80"/>
      <x:c r="R80"/>
      <x:c r="S80"/>
    </x:row>
    <x:row r="81" ht="36" customHeight="1">
      <x:c r="A81"/>
      <x:c r="B81"/>
      <x:c r="C81"/>
      <x:c r="D81"/>
      <x:c r="E81"/>
      <x:c r="F81"/>
      <x:c r="G81"/>
      <x:c r="H81"/>
      <x:c r="I81" t="str"/>
      <x:c r="J81"/>
      <x:c r="K81"/>
      <x:c r="L81"/>
      <x:c r="M81"/>
      <x:c r="N81"/>
      <x:c r="O81"/>
      <x:c r="P81"/>
      <x:c r="Q81"/>
      <x:c r="R81"/>
      <x:c r="S81"/>
    </x:row>
    <x:row r="82" ht="54" customHeight="1">
      <x:c r="A82" t="str">
        <x:v>U18 links a derived STEP with corrected exposed pad; manufacturer exact model remains unavailable.</x:v>
      </x:c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  <x:c r="R82"/>
      <x:c r="S82"/>
    </x:row>
    <x:row r="83" ht="48" customHeight="1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</x:row>
    <x:row r="84" ht="48" customHeight="1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</x:row>
    <x:row r="85" ht="48" customHeight="1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</x:row>
    <x:row r="86" ht="54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</x:row>
    <x:row r="87" ht="54" customHeight="1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16" hidden="0" customWidth="1"/>
    <x:col min="4" max="4" width="24" hidden="0" customWidth="1"/>
    <x:col min="5" max="5" width="53" hidden="0" customWidth="1"/>
    <x:col min="6" max="6" width="18" hidden="0" customWidth="1"/>
    <x:col min="7" max="7" width="3" hidden="0" customWidth="1"/>
    <x:col min="8" max="8" width="80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Open selections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Candidate parts and unresolved stages are excluded from selected quantities and subtotals.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36" customHeight="1">
      <x:c r="A6" s="12" t="str">
        <x:v>Function</x:v>
      </x:c>
      <x:c r="B6" s="12" t="str">
        <x:v>Candidate MPN</x:v>
      </x:c>
      <x:c r="C6" s="12" t="str">
        <x:v>LCSC part</x:v>
      </x:c>
      <x:c r="D6" s="12" t="str">
        <x:v>Selection status</x:v>
      </x:c>
      <x:c r="E6" s="12" t="str">
        <x:v>Required decision</x:v>
      </x:c>
      <x:c r="F6" s="12" t="str">
        <x:v>Reference USD</x:v>
      </x:c>
      <x:c r="G6" s="1"/>
      <x:c r="H6" s="1" t="str">
        <x:v>LCSC source URL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Line-input ADC</x:v>
      </x:c>
      <x:c r="B7" s="1" t="str">
        <x:v>PCM1862DBTR</x:v>
      </x:c>
      <x:c r="C7" s="1" t="str">
        <x:v>C544647</x:v>
      </x:c>
      <x:c r="D7" s="1" t="str">
        <x:v>Candidate</x:v>
      </x:c>
      <x:c r="E7" s="1" t="str">
        <x:v>Confirm architecture, power and audio interface.</x:v>
      </x:c>
      <x:c r="F7" s="5"/>
      <x:c r="G7" s="1"/>
      <x:c r="H7" s="1" t="str">
        <x:v>https://www.lcsc.com/product-detail/C544647.html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 t="str">
        <x:v>Amplifier boost supply</x:v>
      </x:c>
      <x:c r="B8" s="1" t="str">
        <x:v>TPS61088RHLR</x:v>
      </x:c>
      <x:c r="C8" s="1" t="str">
        <x:v>C87357</x:v>
      </x:c>
      <x:c r="D8" s="1" t="str">
        <x:v>Candidate</x:v>
      </x:c>
      <x:c r="E8" s="1" t="str">
        <x:v>Set output voltage and power budget.</x:v>
      </x:c>
      <x:c r="F8" s="5"/>
      <x:c r="G8" s="1"/>
      <x:c r="H8" s="1" t="str">
        <x:v>https://www.lcsc.com/product-detail/C87357.html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 t="str">
        <x:v>Remaining power passive/header/switch selections</x:v>
      </x:c>
      <x:c r="B9" s="1"/>
      <x:c r="C9" s="1"/>
      <x:c r="D9" s="1" t="str">
        <x:v>Partial</x:v>
      </x:c>
      <x:c r="E9" s="1" t="str">
        <x:v>D4 and C103 selected; headers, switches and effective-capacitance qualification remain open.</x:v>
      </x:c>
      <x:c r="F9" s="5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" t="str">
        <x:v>USB PD NVM profile</x:v>
      </x:c>
      <x:c r="B10" s="1"/>
      <x:c r="C10" s="1"/>
      <x:c r="D10" s="1" t="str">
        <x:v>Open</x:v>
      </x:c>
      <x:c r="E10" s="1" t="str">
        <x:v>Program/read back 5 V and 9 V only; source/current policy remains open.</x:v>
      </x:c>
      <x:c r="F10" s="5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</x:row>
    <x:row r="11" ht="60" customHeight="1">
      <x:c r="A11" s="18" t="str">
        <x:v>USB PD controller VDD source LDO</x:v>
      </x:c>
      <x:c r="B11" s="18" t="str">
        <x:v>TPS7B8450QWDRBRQ1</x:v>
      </x:c>
      <x:c r="C11" s="18" t="str">
        <x:v>C3751394</x:v>
      </x:c>
      <x:c r="D11" s="18" t="str">
        <x:v>Selected; qualification open</x:v>
      </x:c>
      <x:c r="E11" s="18" t="str">
        <x:v>U19 supplies nominal 5V from raw PD VBUS. Verify surge/transient coordination, dropout at low 5V input, thermal dissipation, and C5 effective capacitance versus TI minimum.</x:v>
      </x:c>
      <x:c r="F11" s="5"/>
      <x:c r="G11" s="1"/>
      <x:c r="H11" s="1" t="str">
        <x:v>https://www.lcsc.com/product-detail/C3751394.html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</x:row>
    <x:row r="12" ht="24" customHeight="1">
      <x:c r="A12" s="1" t="str">
        <x:v>Bluetooth load isolation</x:v>
      </x:c>
      <x:c r="B12" s="1" t="str">
        <x:v>BM83 downstream signal isolation and shutdown sequencing remain open; regulator captured.</x:v>
      </x:c>
      <x:c r="C12" s="1"/>
      <x:c r="D12" s="1" t="str">
        <x:v>TBD</x:v>
      </x:c>
      <x:c r="E12" s="1" t="str">
        <x:v>Resolve isolation/load switching.</x:v>
      </x:c>
      <x:c r="F12" s="5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</x:row>
    <x:row r="13" ht="24" customHeight="1">
      <x:c r="A13" s="1" t="str">
        <x:v>Protected 1S pack and harness</x:v>
      </x:c>
      <x:c r="B13" s="1"/>
      <x:c r="C13" s="1"/>
      <x:c r="D13" s="1" t="str">
        <x:v>TBD</x:v>
      </x:c>
      <x:c r="E13" s="1" t="str">
        <x:v>Select capacity, current ratings, exact 10k NTC curve and matching connector lead.</x:v>
      </x:c>
      <x:c r="F13" s="5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</x:row>
    <x:row r="14" ht="24" customHeight="1">
      <x:c r="A14" s="1" t="str">
        <x:v>Crystals / clocks / passives</x:v>
      </x:c>
      <x:c r="B14" s="1"/>
      <x:c r="C14" s="1"/>
      <x:c r="D14" s="1" t="str">
        <x:v>TBD</x:v>
      </x:c>
      <x:c r="E14" s="1" t="str">
        <x:v>Complete clock, decoupling, bias and filter parts.</x:v>
      </x:c>
      <x:c r="F14" s="5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</x:row>
    <x:row r="15" ht="24" customHeight="1">
      <x:c r="A15" s="1" t="str">
        <x:v>Speakers</x:v>
      </x:c>
      <x:c r="B15" s="1"/>
      <x:c r="C15" s="1"/>
      <x:c r="D15" s="1" t="str">
        <x:v>TBD</x:v>
      </x:c>
      <x:c r="E15" s="1" t="str">
        <x:v>Select drivers, impedance and ratings.</x:v>
      </x:c>
      <x:c r="F15" s="5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</x:row>
    <x:row r="16" ht="30" customHeight="1">
      <x:c r="A16" s="1" t="str">
        <x:v>PMID capacitor qualification</x:v>
      </x:c>
      <x:c r="B16" s="1" t="str">
        <x:v>CL32B226KAJNNNE</x:v>
      </x:c>
      <x:c r="C16" s="1" t="str">
        <x:v>C309062</x:v>
      </x:c>
      <x:c r="D16" s="18" t="str">
        <x:v>Selected; qualification open</x:v>
      </x:c>
      <x:c r="E16" s="1" t="str">
        <x:v>C101/C108 now in BOM. Typical9V estimate17.60uF with tolerance/temp factors; not guaranteed.</x:v>
      </x:c>
      <x:c r="F16" s="1"/>
      <x:c r="G16" s="1"/>
      <x:c r="H16" s="1" t="str">
        <x:v>https://www.lcsc.com/product-detail/C309062.html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4" customHeight="1">
      <x:c r="A18" s="1" t="str">
        <x:v>D1 uses stocked TI TPD2E2U06DRLR C1972959. Earlier TPD2EUSB30 variants showed out of stock.</x:v>
      </x:c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4" customHeight="1">
      <x:c r="A19" s="1" t="str">
        <x:v>Other candidate prices and quantities remain blank until parts are finalized.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4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4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4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4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4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4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4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4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4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4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4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</x:sheetData>
  <x:pageMargins left="0.7" right="0.7" top="0.75" bottom="0.75" header="0.3" footer="0.3"/>
</x:worksheet>
</file>