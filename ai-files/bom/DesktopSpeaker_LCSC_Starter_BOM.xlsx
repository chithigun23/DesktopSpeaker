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6386562f784f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84b5439466b04a39"/>
    <x:sheet xmlns:r="http://schemas.openxmlformats.org/officeDocument/2006/relationships" name="Open selections" sheetId="2" r:id="R775214754f2743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01f5dc15cc4328" /><Relationship Type="http://schemas.openxmlformats.org/officeDocument/2006/relationships/theme" Target="/xl/theme/theme1.xml" Id="R6f25772980dd4b38" /><Relationship Type="http://schemas.openxmlformats.org/officeDocument/2006/relationships/sharedStrings" Target="/xl/sharedStrings.xml" Id="R149abb642df64d59" /><Relationship Type="http://schemas.openxmlformats.org/officeDocument/2006/relationships/worksheet" Target="/xl/worksheets/sheet1.xml" Id="R84b5439466b04a39" /><Relationship Type="http://schemas.openxmlformats.org/officeDocument/2006/relationships/worksheet" Target="/xl/worksheets/sheet2.xml" Id="R775214754f2743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ROUND(SUM(L11:L76),2)</x:f>
        <x:v>67.28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ROUND(SUM(M11:M76),2)</x:f>
        <x:v>83.81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IF(OR(D11="",G11="",H11=""),"",IF(COUNTIF($D$11:D11,D11)&gt;1,0,ROUNDUP(MAX(SUMIF($D$11:$D$76,D11,$F$11:$F$76),G11)/H11,0)*H11))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IF(OR(D12="",G12="",H12=""),"",IF(COUNTIF($D$11:D12,D12)&gt;1,0,ROUNDUP(MAX(SUMIF($D$11:$D$76,D12,$F$11:$F$76),G12)/H12,0)*H12))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IF(OR(D13="",G13="",H13=""),"",IF(COUNTIF($D$11:D13,D13)&gt;1,0,ROUNDUP(MAX(SUMIF($D$11:$D$76,D13,$F$11:$F$76),G13)/H13,0)*H13))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IF(OR(D14="",G14="",H14=""),"",IF(COUNTIF($D$11:D14,D14)&gt;1,0,ROUNDUP(MAX(SUMIF($D$11:$D$76,D14,$F$11:$F$76),G14)/H14,0)*H14))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IF(OR(D15="",G15="",H15=""),"",IF(COUNTIF($D$11:D15,D15)&gt;1,0,ROUNDUP(MAX(SUMIF($D$11:$D$76,D15,$F$11:$F$76),G15)/H15,0)*H15))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IF(OR(D16="",G16="",H16=""),"",IF(COUNTIF($D$11:D16,D16)&gt;1,0,ROUNDUP(MAX(SUMIF($D$11:$D$76,D16,$F$11:$F$76),G16)/H16,0)*H16))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IF(OR(D17="",G17="",H17=""),"",IF(COUNTIF($D$11:D17,D17)&gt;1,0,ROUNDUP(MAX(SUMIF($D$11:$D$76,D17,$F$11:$F$76),G17)/H17,0)*H17))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IF(OR(D18="",G18="",H18=""),"",IF(COUNTIF($D$11:D18,D18)&gt;1,0,ROUNDUP(MAX(SUMIF($D$11:$D$76,D18,$F$11:$F$76),G18)/H18,0)*H18))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IF(OR(D19="",G19="",H19=""),"",IF(COUNTIF($D$11:D19,D19)&gt;1,0,ROUNDUP(MAX(SUMIF($D$11:$D$76,D19,$F$11:$F$76),G19)/H19,0)*H19))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IF(OR(D20="",G20="",H20=""),"",IF(COUNTIF($D$11:D20,D20)&gt;1,0,ROUNDUP(MAX(SUMIF($D$11:$D$76,D20,$F$11:$F$76),G20)/H20,0)*H20))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IF(OR(D21="",G21="",H21=""),"",IF(COUNTIF($D$11:D21,D21)&gt;1,0,ROUNDUP(MAX(SUMIF($D$11:$D$76,D21,$F$11:$F$76),G21)/H21,0)*H21))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IF(OR(D22="",G22="",H22=""),"",IF(COUNTIF($D$11:D22,D22)&gt;1,0,ROUNDUP(MAX(SUMIF($D$11:$D$76,D22,$F$11:$F$76),G22)/H22,0)*H22))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IF(OR(D23="",G23="",H23=""),"",IF(COUNTIF($D$11:D23,D23)&gt;1,0,ROUNDUP(MAX(SUMIF($D$11:$D$76,D23,$F$11:$F$76),G23)/H23,0)*H23))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IF(OR(D24="",G24="",H24=""),"",IF(COUNTIF($D$11:D24,D24)&gt;1,0,ROUNDUP(MAX(SUMIF($D$11:$D$76,D24,$F$11:$F$76),G24)/H24,0)*H24))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IF(OR(D25="",G25="",H25=""),"",IF(COUNTIF($D$11:D25,D25)&gt;1,0,ROUNDUP(MAX(SUMIF($D$11:$D$76,D25,$F$11:$F$76),G25)/H25,0)*H25))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IF(OR(D26="",G26="",H26=""),"",IF(COUNTIF($D$11:D26,D26)&gt;1,0,ROUNDUP(MAX(SUMIF($D$11:$D$76,D26,$F$11:$F$76),G26)/H26,0)*H26))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IF(OR(D27="",G27="",H27=""),"",IF(COUNTIF($D$11:D27,D27)&gt;1,0,ROUNDUP(MAX(SUMIF($D$11:$D$76,D27,$F$11:$F$76),G27)/H27,0)*H27))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IF(OR(D28="",G28="",H28=""),"",IF(COUNTIF($D$11:D28,D28)&gt;1,0,ROUNDUP(MAX(SUMIF($D$11:$D$76,D28,$F$11:$F$76),G28)/H28,0)*H28))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IF(OR(D29="",G29="",H29=""),"",IF(COUNTIF($D$11:D29,D29)&gt;1,0,ROUNDUP(MAX(SUMIF($D$11:$D$76,D29,$F$11:$F$76),G29)/H29,0)*H29))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IF(OR(D30="",G30="",H30=""),"",IF(COUNTIF($D$11:D30,D30)&gt;1,0,ROUNDUP(MAX(SUMIF($D$11:$D$76,D30,$F$11:$F$76),G30)/H30,0)*H30))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IF(OR(D31="",G31="",H31=""),"",IF(COUNTIF($D$11:D31,D31)&gt;1,0,ROUNDUP(MAX(SUMIF($D$11:$D$76,D31,$F$11:$F$76),G31)/H31,0)*H31))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IF(OR(D32="",G32="",H32=""),"",IF(COUNTIF($D$11:D32,D32)&gt;1,0,ROUNDUP(MAX(SUMIF($D$11:$D$76,D32,$F$11:$F$76),G32)/H32,0)*H32))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1</x:v>
      </x:c>
      <x:c r="G33" t="n">
        <x:v>10</x:v>
      </x:c>
      <x:c r="H33" t="n">
        <x:v>10</x:v>
      </x:c>
      <x:c r="I33" t="n">
        <x:f>IF(OR(D33="",G33="",H33=""),"",IF(COUNTIF($D$11:D33,D33)&gt;1,0,ROUNDUP(MAX(SUMIF($D$11:$D$76,D33,$F$11:$F$76),G33)/H33,0)*H33))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0.0403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1</x:v>
      </x:c>
      <x:c r="G34" t="n">
        <x:v>10</x:v>
      </x:c>
      <x:c r="H34" t="n">
        <x:v>10</x:v>
      </x:c>
      <x:c r="I34" t="n">
        <x:f>IF(OR(D34="",G34="",H34=""),"",IF(COUNTIF($D$11:D34,D34)&gt;1,0,ROUNDUP(MAX(SUMIF($D$11:$D$76,D34,$F$11:$F$76),G34)/H34,0)*H34))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0.0759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 (MPN open)</x:v>
      </x:c>
      <x:c r="C35" s="25"/>
      <x:c r="D35" s="25"/>
      <x:c r="E35" s="25"/>
      <x:c r="F35" s="25" t="n">
        <x:v>1</x:v>
      </x:c>
      <x:c r="G35"/>
      <x:c r="H35"/>
      <x:c r="I35" t="str">
        <x:f>IF(OR(D35="",G35="",H35=""),"",IF(COUNTIF($D$11:D35,D35)&gt;1,0,ROUNDUP(MAX(SUMIF($D$11:$D$76,D35,$F$11:$F$76),G35)/H35,0)*H35))</x:f>
      </x:c>
      <x:c r="J35"/>
      <x:c r="K35" s="26"/>
      <x:c r="L35" s="27" t="str">
        <x:f>IF(K35="","",ROUND(F35*K35,4))</x:f>
      </x:c>
      <x:c r="M35" s="27" t="str">
        <x:f>IF(OR(K35="",I35="",N35=""),"",IF(N35&gt;=I35,ROUND(I35*K35,4),""))</x:f>
      </x:c>
      <x:c r="N35"/>
      <x:c r="O35" t="str">
        <x:v>Stock/price unverified</x:v>
      </x:c>
      <x:c r="P35" s="16"/>
      <x:c r="Q35"/>
      <x:c r="R35" t="str">
        <x:v>Sheet value 200k 1%; MPN/LCSC unselected.</x:v>
      </x:c>
      <x:c r="S35"/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IF(OR(D36="",G36="",H36=""),"",IF(COUNTIF($D$11:D36,D36)&gt;1,0,ROUNDUP(MAX(SUMIF($D$11:$D$76,D36,$F$11:$F$76),G36)/H36,0)*H36))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IF(OR(D37="",G37="",H37=""),"",IF(COUNTIF($D$11:D37,D37)&gt;1,0,ROUNDUP(MAX(SUMIF($D$11:$D$76,D37,$F$11:$F$76),G37)/H37,0)*H37))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4</x:v>
      </x:c>
      <x:c r="G38" t="n">
        <x:v>10</x:v>
      </x:c>
      <x:c r="H38" t="n">
        <x:v>10</x:v>
      </x:c>
      <x:c r="I38" t="n">
        <x:f>IF(OR(D38="",G38="",H38=""),"",IF(COUNTIF($D$11:D38,D38)&gt;1,0,ROUNDUP(MAX(SUMIF($D$11:$D$76,D38,$F$11:$F$76),G38)/H38,0)*H38))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0.372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IF(OR(D39="",G39="",H39=""),"",IF(COUNTIF($D$11:D39,D39)&gt;1,0,ROUNDUP(MAX(SUMIF($D$11:$D$76,D39,$F$11:$F$76),G39)/H39,0)*H39))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IF(OR(D40="",G40="",H40=""),"",IF(COUNTIF($D$11:D40,D40)&gt;1,0,ROUNDUP(MAX(SUMIF($D$11:$D$76,D40,$F$11:$F$76),G40)/H40,0)*H40))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IF(OR(D41="",G41="",H41=""),"",IF(COUNTIF($D$11:D41,D41)&gt;1,0,ROUNDUP(MAX(SUMIF($D$11:$D$76,D41,$F$11:$F$76),G41)/H41,0)*H41))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 (MPN open)</x:v>
      </x:c>
      <x:c r="C42" s="25"/>
      <x:c r="D42" s="25"/>
      <x:c r="E42" s="25"/>
      <x:c r="F42" s="25" t="n">
        <x:v>2</x:v>
      </x:c>
      <x:c r="G42"/>
      <x:c r="H42"/>
      <x:c r="I42" t="str">
        <x:f>IF(OR(D42="",G42="",H42=""),"",IF(COUNTIF($D$11:D42,D42)&gt;1,0,ROUNDUP(MAX(SUMIF($D$11:$D$76,D42,$F$11:$F$76),G42)/H42,0)*H42))</x:f>
      </x:c>
      <x:c r="J42"/>
      <x:c r="K42" s="26"/>
      <x:c r="L42" s="27" t="str">
        <x:f>IF(K42="","",ROUND(F42*K42,4))</x:f>
      </x:c>
      <x:c r="M42" s="27" t="str">
        <x:f>IF(OR(K42="",I42="",N42=""),"",IF(N42&gt;=I42,ROUND(I42*K42,4),""))</x:f>
      </x:c>
      <x:c r="N42"/>
      <x:c r="O42" t="str">
        <x:v>Stock/price unverified</x:v>
      </x:c>
      <x:c r="P42" s="16"/>
      <x:c r="Q42"/>
      <x:c r="R42" t="str">
        <x:v>Unselected 0603 C0G part.</x:v>
      </x:c>
      <x:c r="S42"/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IF(OR(D43="",G43="",H43=""),"",IF(COUNTIF($D$11:D43,D43)&gt;1,0,ROUNDUP(MAX(SUMIF($D$11:$D$76,D43,$F$11:$F$76),G43)/H43,0)*H43))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IF(OR(D44="",G44="",H44=""),"",IF(COUNTIF($D$11:D44,D44)&gt;1,0,ROUNDUP(MAX(SUMIF($D$11:$D$76,D44,$F$11:$F$76),G44)/H44,0)*H44))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IF(OR(D45="",G45="",H45=""),"",IF(COUNTIF($D$11:D45,D45)&gt;1,0,ROUNDUP(MAX(SUMIF($D$11:$D$76,D45,$F$11:$F$76),G45)/H45,0)*H45))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IF(OR(D46="",G46="",H46=""),"",IF(COUNTIF($D$11:D46,D46)&gt;1,0,ROUNDUP(MAX(SUMIF($D$11:$D$76,D46,$F$11:$F$76),G46)/H46,0)*H46))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IF(OR(D47="",G47="",H47=""),"",IF(COUNTIF($D$11:D47,D47)&gt;1,0,ROUNDUP(MAX(SUMIF($D$11:$D$76,D47,$F$11:$F$76),G47)/H47,0)*H47))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IF(OR(D48="",G48="",H48=""),"",IF(COUNTIF($D$11:D48,D48)&gt;1,0,ROUNDUP(MAX(SUMIF($D$11:$D$76,D48,$F$11:$F$76),G48)/H48,0)*H48))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IF(OR(D49="",G49="",H49=""),"",IF(COUNTIF($D$11:D49,D49)&gt;1,0,ROUNDUP(MAX(SUMIF($D$11:$D$76,D49,$F$11:$F$76),G49)/H49,0)*H49))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5</x:v>
      </x:c>
      <x:c r="G50" t="n">
        <x:v>100</x:v>
      </x:c>
      <x:c r="H50" t="n">
        <x:v>100</x:v>
      </x:c>
      <x:c r="I50" t="n">
        <x:f>IF(OR(D50="",G50="",H50=""),"",IF(COUNTIF($D$11:D50,D50)&gt;1,0,ROUNDUP(MAX(SUMIF($D$11:$D$76,D50,$F$11:$F$76),G50)/H50,0)*H50))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0.017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IF(OR(D51="",G51="",H51=""),"",IF(COUNTIF($D$11:D51,D51)&gt;1,0,ROUNDUP(MAX(SUMIF($D$11:$D$76,D51,$F$11:$F$76),G51)/H51,0)*H51))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IF(OR(D52="",G52="",H52=""),"",IF(COUNTIF($D$11:D52,D52)&gt;1,0,ROUNDUP(MAX(SUMIF($D$11:$D$76,D52,$F$11:$F$76),G52)/H52,0)*H52))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IF(OR(D53="",G53="",H53=""),"",IF(COUNTIF($D$11:D53,D53)&gt;1,0,ROUNDUP(MAX(SUMIF($D$11:$D$76,D53,$F$11:$F$76),G53)/H53,0)*H53))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/>
      <x:c r="D54" s="25"/>
      <x:c r="E54" s="25"/>
      <x:c r="F54" s="25" t="n">
        <x:v>1</x:v>
      </x:c>
      <x:c r="G54"/>
      <x:c r="H54"/>
      <x:c r="I54" t="str">
        <x:f>IF(OR(D54="",G54="",H54=""),"",IF(COUNTIF($D$11:D54,D54)&gt;1,0,ROUNDUP(MAX(SUMIF($D$11:$D$76,D54,$F$11:$F$76),G54)/H54,0)*H54))</x:f>
      </x:c>
      <x:c r="J54"/>
      <x:c r="K54" s="26"/>
      <x:c r="L54" s="27" t="str">
        <x:f>IF(K54="","",ROUND(F54*K54,4))</x:f>
      </x:c>
      <x:c r="M54" s="27" t="str">
        <x:f>IF(OR(K54="",I54="",N54=""),"",IF(N54&gt;=I54,ROUND(I54*K54,4),""))</x:f>
      </x:c>
      <x:c r="N54"/>
      <x:c r="O54" t="str">
        <x:v>MPN open</x:v>
      </x:c>
      <x:c r="P54" s="16"/>
      <x:c r="Q54"/>
      <x:c r="R54"/>
      <x:c r="S54"/>
    </x:row>
    <x:row r="55" ht="36" customHeight="1">
      <x:c r="A55" s="25" t="str">
        <x:v>SW100</x:v>
      </x:c>
      <x:c r="B55" s="25" t="str">
        <x:v>QON wake pushbutton</x:v>
      </x:c>
      <x:c r="C55" s="25"/>
      <x:c r="D55" s="25"/>
      <x:c r="E55" s="25"/>
      <x:c r="F55" s="25" t="n">
        <x:v>1</x:v>
      </x:c>
      <x:c r="G55"/>
      <x:c r="H55"/>
      <x:c r="I55" t="str">
        <x:f>IF(OR(D55="",G55="",H55=""),"",IF(COUNTIF($D$11:D55,D55)&gt;1,0,ROUNDUP(MAX(SUMIF($D$11:$D$76,D55,$F$11:$F$76),G55)/H55,0)*H55))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MPN open</x:v>
      </x:c>
      <x:c r="P55" s="16"/>
      <x:c r="Q55"/>
      <x:c r="R55"/>
      <x:c r="S55"/>
    </x:row>
    <x:row r="56" ht="36" customHeight="1">
      <x:c r="A56" s="25" t="str">
        <x:v>SW101</x:v>
      </x:c>
      <x:c r="B56" s="25" t="str">
        <x:v>Pack-positive disconnect switch</x:v>
      </x:c>
      <x:c r="C56" s="25"/>
      <x:c r="D56" s="25"/>
      <x:c r="E56" s="25"/>
      <x:c r="F56" s="25" t="n">
        <x:v>1</x:v>
      </x:c>
      <x:c r="G56"/>
      <x:c r="H56"/>
      <x:c r="I56" t="str">
        <x:f>IF(OR(D56="",G56="",H56=""),"",IF(COUNTIF($D$11:D56,D56)&gt;1,0,ROUNDUP(MAX(SUMIF($D$11:$D$76,D56,$F$11:$F$76),G56)/H56,0)*H56))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MPN open</x:v>
      </x:c>
      <x:c r="P56" s="16"/>
      <x:c r="Q56"/>
      <x:c r="R56"/>
      <x:c r="S56"/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IF(OR(D57="",G57="",H57=""),"",IF(COUNTIF($D$11:D57,D57)&gt;1,0,ROUNDUP(MAX(SUMIF($D$11:$D$76,D57,$F$11:$F$76),G57)/H57,0)*H57))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8</x:v>
      </x:c>
      <x:c r="G58" t="n">
        <x:v>100</x:v>
      </x:c>
      <x:c r="H58" t="n">
        <x:v>100</x:v>
      </x:c>
      <x:c r="I58" t="n">
        <x:f>IF(OR(D58="",G58="",H58=""),"",IF(COUNTIF($D$11:D58,D58)&gt;1,0,ROUNDUP(MAX(SUMIF($D$11:$D$76,D58,$F$11:$F$76),G58)/H58,0)*H58))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0.0888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IF(OR(D59="",G59="",H59=""),"",IF(COUNTIF($D$11:D59,D59)&gt;1,0,ROUNDUP(MAX(SUMIF($D$11:$D$76,D59,$F$11:$F$76),G59)/H59,0)*H59))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IF(OR(D60="",G60="",H60=""),"",IF(COUNTIF($D$11:D60,D60)&gt;1,0,ROUNDUP(MAX(SUMIF($D$11:$D$76,D60,$F$11:$F$76),G60)/H60,0)*H60))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IF(OR(D61="",G61="",H61=""),"",IF(COUNTIF($D$11:D61,D61)&gt;1,0,ROUNDUP(MAX(SUMIF($D$11:$D$76,D61,$F$11:$F$76),G61)/H61,0)*H61))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IF(OR(D62="",G62="",H62=""),"",IF(COUNTIF($D$11:D62,D62)&gt;1,0,ROUNDUP(MAX(SUMIF($D$11:$D$76,D62,$F$11:$F$76),G62)/H62,0)*H62))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IF(OR(D63="",G63="",H63=""),"",IF(COUNTIF($D$11:D63,D63)&gt;1,0,ROUNDUP(MAX(SUMIF($D$11:$D$76,D63,$F$11:$F$76),G63)/H63,0)*H63))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IF(OR(D64="",G64="",H64=""),"",IF(COUNTIF($D$11:D64,D64)&gt;1,0,ROUNDUP(MAX(SUMIF($D$11:$D$76,D64,$F$11:$F$76),G64)/H64,0)*H64))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IF(OR(D65="",G65="",H65=""),"",IF(COUNTIF($D$11:D65,D65)&gt;1,0,ROUNDUP(MAX(SUMIF($D$11:$D$76,D65,$F$11:$F$76),G65)/H65,0)*H65))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IF(OR(D66="",G66="",H66=""),"",IF(COUNTIF($D$11:D66,D66)&gt;1,0,ROUNDUP(MAX(SUMIF($D$11:$D$76,D66,$F$11:$F$76),G66)/H66,0)*H66))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IF(OR(D67="",G67="",H67=""),"",IF(COUNTIF($D$11:D67,D67)&gt;1,0,ROUNDUP(MAX(SUMIF($D$11:$D$76,D67,$F$11:$F$76),G67)/H67,0)*H67))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IF(OR(D68="",G68="",H68=""),"",IF(COUNTIF($D$11:D68,D68)&gt;1,0,ROUNDUP(MAX(SUMIF($D$11:$D$76,D68,$F$11:$F$76),G68)/H68,0)*H68))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</x:v>
      </x:c>
      <x:c r="B69" s="25" t="str">
        <x:v>100k EN / MODE / bleeder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3</x:v>
      </x:c>
      <x:c r="G69" t="n">
        <x:v>100</x:v>
      </x:c>
      <x:c r="H69" t="n">
        <x:v>100</x:v>
      </x:c>
      <x:c r="I69" t="n">
        <x:f>IF(OR(D69="",G69="",H69=""),"",IF(COUNTIF($D$11:D69,D69)&gt;1,0,ROUNDUP(MAX(SUMIF($D$11:$D$76,D69,$F$11:$F$76),G69)/H69,0)*H69))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0.0108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IF(OR(D70="",G70="",H70=""),"",IF(COUNTIF($D$11:D70,D70)&gt;1,0,ROUNDUP(MAX(SUMIF($D$11:$D$76,D70,$F$11:$F$76),G70)/H70,0)*H70))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IF(OR(D71="",G71="",H71=""),"",IF(COUNTIF($D$11:D71,D71)&gt;1,0,ROUNDUP(MAX(SUMIF($D$11:$D$76,D71,$F$11:$F$76),G71)/H71,0)*H71))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IF(OR(D72="",G72="",H72=""),"",IF(COUNTIF($D$11:D72,D72)&gt;1,0,ROUNDUP(MAX(SUMIF($D$11:$D$76,D72,$F$11:$F$76),G72)/H72,0)*H72))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IF(OR(D73="",G73="",H73=""),"",IF(COUNTIF($D$11:D73,D73)&gt;1,0,ROUNDUP(MAX(SUMIF($D$11:$D$76,D73,$F$11:$F$76),G73)/H73,0)*H73))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IF(OR(D74="",G74="",H74=""),"",IF(COUNTIF($D$11:D74,D74)&gt;1,0,ROUNDUP(MAX(SUMIF($D$11:$D$76,D74,$F$11:$F$76),G74)/H74,0)*H74))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IF(OR(D75="",G75="",H75=""),"",IF(COUNTIF($D$11:D75,D75)&gt;1,0,ROUNDUP(MAX(SUMIF($D$11:$D$76,D75,$F$11:$F$76),G75)/H75,0)*H75))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2</x:v>
      </x:c>
      <x:c r="G76" t="n">
        <x:v>100</x:v>
      </x:c>
      <x:c r="H76" t="n">
        <x:v>100</x:v>
      </x:c>
      <x:c r="I76" t="n">
        <x:f>IF(OR(D76="",G76="",H76=""),"",IF(COUNTIF($D$11:D76,D76)&gt;1,0,ROUNDUP(MAX(SUMIF($D$11:$D$76,D76,$F$11:$F$76),G76)/H76,0)*H76))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0.0112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/>
      <x:c r="B77" s="25"/>
      <x:c r="C77" s="25"/>
      <x:c r="D77" s="25"/>
      <x:c r="E77" s="25"/>
      <x:c r="F77" s="25"/>
      <x:c r="G77"/>
      <x:c r="H77"/>
      <x:c r="I77"/>
      <x:c r="J77"/>
      <x:c r="K77" s="26"/>
      <x:c r="L77" s="27"/>
      <x:c r="M77" s="27"/>
      <x:c r="N77"/>
      <x:c r="O77"/>
      <x:c r="P77" s="16"/>
      <x:c r="Q77"/>
      <x:c r="R77"/>
      <x:c r="S77"/>
    </x:row>
    <x:row r="78" ht="42" customHeight="1">
      <x:c r="A78" s="21" t="str">
        <x:v>U18 links a derived STEP with corrected exposed pad; manufacturer exact model remains unavailable.</x:v>
      </x:c>
      <x:c r="B78" s="21"/>
      <x:c r="C78" s="21"/>
      <x:c r="D78" s="21"/>
      <x:c r="E78" s="21"/>
      <x:c r="F78" s="21"/>
      <x:c r="G78"/>
      <x:c r="H78"/>
      <x:c r="I78"/>
      <x:c r="J78"/>
      <x:c r="K78" s="26"/>
      <x:c r="L78" s="27"/>
      <x:c r="M78" s="27"/>
      <x:c r="N78"/>
      <x:c r="O78"/>
      <x:c r="P78" s="16"/>
      <x:c r="Q78"/>
      <x:c r="R78"/>
      <x:c r="S78"/>
    </x:row>
    <x:row r="79" ht="42" customHeight="1">
      <x:c r="A79" s="21" t="str">
        <x:v>U2: Only 4 available in page snapshot.</x:v>
      </x:c>
      <x:c r="B79" s="21"/>
      <x:c r="C79" s="21"/>
      <x:c r="D79" s="21"/>
      <x:c r="E79" s="21"/>
      <x:c r="F79" s="21"/>
      <x:c r="G79"/>
      <x:c r="H79"/>
      <x:c r="I79"/>
      <x:c r="J79"/>
      <x:c r="K79" s="26"/>
      <x:c r="L79" s="27"/>
      <x:c r="M79" s="27"/>
      <x:c r="N79"/>
      <x:c r="O79"/>
      <x:c r="P79" s="16"/>
      <x:c r="Q79"/>
      <x:c r="R79"/>
      <x:c r="S79"/>
    </x:row>
    <x:row r="80" ht="42" customHeight="1">
      <x:c r="A80" s="21" t="str">
        <x:v>U6, U7: Refreshed full product page differs from older cached prices.</x:v>
      </x:c>
      <x:c r="B80" s="21"/>
      <x:c r="C80" s="21"/>
      <x:c r="D80" s="21"/>
      <x:c r="E80" s="21"/>
      <x:c r="F80" s="21"/>
      <x:c r="G80"/>
      <x:c r="H80"/>
      <x:c r="I80"/>
      <x:c r="J80"/>
      <x:c r="K80" s="26"/>
      <x:c r="L80" s="27"/>
      <x:c r="M80" s="27"/>
      <x:c r="N80"/>
      <x:c r="O80"/>
      <x:c r="P80" s="16"/>
      <x:c r="Q80"/>
      <x:c r="R80"/>
      <x:c r="S80"/>
    </x:row>
    <x:row r="81" ht="36" customHeight="1">
      <x:c r="A81" t="str">
        <x:v>U4/U11/Q103 prices are review-time snapshots or unverified; C2/C6/D7/R10/C182/C183 per candidate review; TPS25730D 5-20 V integration 2026-10-05.</x:v>
      </x:c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</x:row>
    <x:row r="82" ht="54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</x:row>
    <x:row r="83" ht="4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</x:row>
    <x:row r="84" ht="4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 ht="4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