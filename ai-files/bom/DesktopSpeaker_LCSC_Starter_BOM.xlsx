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721f5d2e214f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c1022b5cad4546f9"/>
    <x:sheet xmlns:r="http://schemas.openxmlformats.org/officeDocument/2006/relationships" name="Open selections" sheetId="2" r:id="R45a869c7fbae41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99b0fa17844eb9" /><Relationship Type="http://schemas.openxmlformats.org/officeDocument/2006/relationships/theme" Target="/xl/theme/theme1.xml" Id="Rda481aed74264b79" /><Relationship Type="http://schemas.openxmlformats.org/officeDocument/2006/relationships/sharedStrings" Target="/xl/sharedStrings.xml" Id="Rbe97a446669042fb" /><Relationship Type="http://schemas.openxmlformats.org/officeDocument/2006/relationships/worksheet" Target="/xl/worksheets/sheet1.xml" Id="Rc1022b5cad4546f9" /><Relationship Type="http://schemas.openxmlformats.org/officeDocument/2006/relationships/worksheet" Target="/xl/worksheets/sheet2.xml" Id="R45a869c7fbae41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ROUND(SUM(L11:L98),2)</x:f>
        <x:v>70.46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ROUND(SUM(M11:M98),2)</x:f>
        <x:v>86.95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IF(OR(D11="",G11="",H11=""),"",IF(COUNTIF($D$11:D11,D11)&gt;1,0,ROUNDUP(MAX(SUMIF($D$11:$D$98,D11,$F$11:$F$98),G11)/H11,0)*H11))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IF(OR(D12="",G12="",H12=""),"",IF(COUNTIF($D$11:D12,D12)&gt;1,0,ROUNDUP(MAX(SUMIF($D$11:$D$98,D12,$F$11:$F$98),G12)/H12,0)*H12))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IF(OR(D13="",G13="",H13=""),"",IF(COUNTIF($D$11:D13,D13)&gt;1,0,ROUNDUP(MAX(SUMIF($D$11:$D$98,D13,$F$11:$F$98),G13)/H13,0)*H13))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IF(OR(D14="",G14="",H14=""),"",IF(COUNTIF($D$11:D14,D14)&gt;1,0,ROUNDUP(MAX(SUMIF($D$11:$D$98,D14,$F$11:$F$98),G14)/H14,0)*H14))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IF(OR(D15="",G15="",H15=""),"",IF(COUNTIF($D$11:D15,D15)&gt;1,0,ROUNDUP(MAX(SUMIF($D$11:$D$98,D15,$F$11:$F$98),G15)/H15,0)*H15))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IF(OR(D16="",G16="",H16=""),"",IF(COUNTIF($D$11:D16,D16)&gt;1,0,ROUNDUP(MAX(SUMIF($D$11:$D$98,D16,$F$11:$F$98),G16)/H16,0)*H16))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IF(OR(D17="",G17="",H17=""),"",IF(COUNTIF($D$11:D17,D17)&gt;1,0,ROUNDUP(MAX(SUMIF($D$11:$D$98,D17,$F$11:$F$98),G17)/H17,0)*H17))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IF(OR(D18="",G18="",H18=""),"",IF(COUNTIF($D$11:D18,D18)&gt;1,0,ROUNDUP(MAX(SUMIF($D$11:$D$98,D18,$F$11:$F$98),G18)/H18,0)*H18))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IF(OR(D19="",G19="",H19=""),"",IF(COUNTIF($D$11:D19,D19)&gt;1,0,ROUNDUP(MAX(SUMIF($D$11:$D$98,D19,$F$11:$F$98),G19)/H19,0)*H19))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IF(OR(D20="",G20="",H20=""),"",IF(COUNTIF($D$11:D20,D20)&gt;1,0,ROUNDUP(MAX(SUMIF($D$11:$D$98,D20,$F$11:$F$98),G20)/H20,0)*H20))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IF(OR(D21="",G21="",H21=""),"",IF(COUNTIF($D$11:D21,D21)&gt;1,0,ROUNDUP(MAX(SUMIF($D$11:$D$98,D21,$F$11:$F$98),G21)/H21,0)*H21))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IF(OR(D22="",G22="",H22=""),"",IF(COUNTIF($D$11:D22,D22)&gt;1,0,ROUNDUP(MAX(SUMIF($D$11:$D$98,D22,$F$11:$F$98),G22)/H22,0)*H22))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IF(OR(D23="",G23="",H23=""),"",IF(COUNTIF($D$11:D23,D23)&gt;1,0,ROUNDUP(MAX(SUMIF($D$11:$D$98,D23,$F$11:$F$98),G23)/H23,0)*H23))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IF(OR(D24="",G24="",H24=""),"",IF(COUNTIF($D$11:D24,D24)&gt;1,0,ROUNDUP(MAX(SUMIF($D$11:$D$98,D24,$F$11:$F$98),G24)/H24,0)*H24))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IF(OR(D25="",G25="",H25=""),"",IF(COUNTIF($D$11:D25,D25)&gt;1,0,ROUNDUP(MAX(SUMIF($D$11:$D$98,D25,$F$11:$F$98),G25)/H25,0)*H25))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IF(OR(D26="",G26="",H26=""),"",IF(COUNTIF($D$11:D26,D26)&gt;1,0,ROUNDUP(MAX(SUMIF($D$11:$D$98,D26,$F$11:$F$98),G26)/H26,0)*H26))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IF(OR(D27="",G27="",H27=""),"",IF(COUNTIF($D$11:D27,D27)&gt;1,0,ROUNDUP(MAX(SUMIF($D$11:$D$98,D27,$F$11:$F$98),G27)/H27,0)*H27))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IF(OR(D28="",G28="",H28=""),"",IF(COUNTIF($D$11:D28,D28)&gt;1,0,ROUNDUP(MAX(SUMIF($D$11:$D$98,D28,$F$11:$F$98),G28)/H28,0)*H28))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IF(OR(D29="",G29="",H29=""),"",IF(COUNTIF($D$11:D29,D29)&gt;1,0,ROUNDUP(MAX(SUMIF($D$11:$D$98,D29,$F$11:$F$98),G29)/H29,0)*H29))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IF(OR(D30="",G30="",H30=""),"",IF(COUNTIF($D$11:D30,D30)&gt;1,0,ROUNDUP(MAX(SUMIF($D$11:$D$98,D30,$F$11:$F$98),G30)/H30,0)*H30))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IF(OR(D31="",G31="",H31=""),"",IF(COUNTIF($D$11:D31,D31)&gt;1,0,ROUNDUP(MAX(SUMIF($D$11:$D$98,D31,$F$11:$F$98),G31)/H31,0)*H31))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IF(OR(D32="",G32="",H32=""),"",IF(COUNTIF($D$11:D32,D32)&gt;1,0,ROUNDUP(MAX(SUMIF($D$11:$D$98,D32,$F$11:$F$98),G32)/H32,0)*H32))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C174, C192, C193, C212, C220, C221, C222, C224, C225, C230, C231, C232, C233, C234, C235, C239, C240, C241, C245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24</x:v>
      </x:c>
      <x:c r="G33" t="n">
        <x:v>10</x:v>
      </x:c>
      <x:c r="H33" t="n">
        <x:v>10</x:v>
      </x:c>
      <x:c r="I33" t="n">
        <x:f>IF(OR(D33="",G33="",H33=""),"",IF(COUNTIF($D$11:D33,D33)&gt;1,0,ROUNDUP(MAX(SUMIF($D$11:$D$98,D33,$F$11:$F$98),G33)/H33,0)*H33))</x:f>
        <x:v>30</x:v>
      </x:c>
      <x:c r="J33" t="n">
        <x:v>10</x:v>
      </x:c>
      <x:c r="K33" s="26" t="n">
        <x:v>0.0403</x:v>
      </x:c>
      <x:c r="L33" s="27" t="n">
        <x:f>IF(K33="","",ROUND(F33*K33,4))</x:f>
        <x:v>0.9672</x:v>
      </x:c>
      <x:c r="M33" s="27" t="n">
        <x:f>IF(OR(K33="",I33="",N33=""),"",IF(N33&gt;=I33,ROUND(I33*K33,4),""))</x:f>
        <x:v>1.209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 Headphone_Aux sheet, 2026-10-06. Added C230, C231, C232, C233, C234, C235, C239, C240, C241, C245.</x:v>
      </x:c>
      <x:c r="S33" t="str">
        <x:v>https://www.lcsc.com/product-detail/C28323.html</x:v>
      </x:c>
    </x:row>
    <x:row r="34" ht="36" customHeight="1">
      <x:c r="A34" s="25" t="str">
        <x:v>C5, C186, C187, C194, C195, C236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6</x:v>
      </x:c>
      <x:c r="G34" t="n">
        <x:v>10</x:v>
      </x:c>
      <x:c r="H34" t="n">
        <x:v>10</x:v>
      </x:c>
      <x:c r="I34" t="n">
        <x:f>IF(OR(D34="",G34="",H34=""),"",IF(COUNTIF($D$11:D34,D34)&gt;1,0,ROUNDUP(MAX(SUMIF($D$11:$D$98,D34,$F$11:$F$98),G34)/H34,0)*H34))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0.4554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 t="str">
        <x:v>Headphone_Aux sheet, 2026-10-06. Added C236.</x:v>
      </x:c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IF(OR(D35="",G35="",H35=""),"",IF(COUNTIF($D$11:D35,D35)&gt;1,0,ROUNDUP(MAX(SUMIF($D$11:$D$98,D35,$F$11:$F$98),G35)/H35,0)*H35))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IF(OR(D36="",G36="",H36=""),"",IF(COUNTIF($D$11:D36,D36)&gt;1,0,ROUNDUP(MAX(SUMIF($D$11:$D$98,D36,$F$11:$F$98),G36)/H36,0)*H36))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IF(OR(D37="",G37="",H37=""),"",IF(COUNTIF($D$11:D37,D37)&gt;1,0,ROUNDUP(MAX(SUMIF($D$11:$D$98,D37,$F$11:$F$98),G37)/H37,0)*H37))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C176, C190, C214, C216, C218, C223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11</x:v>
      </x:c>
      <x:c r="G38" t="n">
        <x:v>10</x:v>
      </x:c>
      <x:c r="H38" t="n">
        <x:v>10</x:v>
      </x:c>
      <x:c r="I38" t="n">
        <x:f>IF(OR(D38="",G38="",H38=""),"",IF(COUNTIF($D$11:D38,D38)&gt;1,0,ROUNDUP(MAX(SUMIF($D$11:$D$98,D38,$F$11:$F$98),G38)/H38,0)*H38))</x:f>
        <x:v>20</x:v>
      </x:c>
      <x:c r="J38" t="n">
        <x:v>10</x:v>
      </x:c>
      <x:c r="K38" s="26" t="n">
        <x:v>0.093</x:v>
      </x:c>
      <x:c r="L38" s="27" t="n">
        <x:f>IF(K38="","",ROUND(F38*K38,4))</x:f>
        <x:v>1.023</x:v>
      </x:c>
      <x:c r="M38" s="27" t="n">
        <x:f>IF(OR(K38="",I38="",N38=""),"",IF(N38&gt;=I38,ROUND(I38*K38,4),""))</x:f>
        <x:v>1.86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IF(OR(D39="",G39="",H39=""),"",IF(COUNTIF($D$11:D39,D39)&gt;1,0,ROUNDUP(MAX(SUMIF($D$11:$D$98,D39,$F$11:$F$98),G39)/H39,0)*H39))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IF(OR(D40="",G40="",H40=""),"",IF(COUNTIF($D$11:D40,D40)&gt;1,0,ROUNDUP(MAX(SUMIF($D$11:$D$98,D40,$F$11:$F$98),G40)/H40,0)*H40))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IF(OR(D41="",G41="",H41=""),"",IF(COUNTIF($D$11:D41,D41)&gt;1,0,ROUNDUP(MAX(SUMIF($D$11:$D$98,D41,$F$11:$F$98),G41)/H41,0)*H41))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IF(OR(D42="",G42="",H42=""),"",IF(COUNTIF($D$11:D42,D42)&gt;1,0,ROUNDUP(MAX(SUMIF($D$11:$D$98,D42,$F$11:$F$98),G42)/H42,0)*H42))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IF(OR(D43="",G43="",H43=""),"",IF(COUNTIF($D$11:D43,D43)&gt;1,0,ROUNDUP(MAX(SUMIF($D$11:$D$98,D43,$F$11:$F$98),G43)/H43,0)*H43))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IF(OR(D44="",G44="",H44=""),"",IF(COUNTIF($D$11:D44,D44)&gt;1,0,ROUNDUP(MAX(SUMIF($D$11:$D$98,D44,$F$11:$F$98),G44)/H44,0)*H44))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IF(OR(D45="",G45="",H45=""),"",IF(COUNTIF($D$11:D45,D45)&gt;1,0,ROUNDUP(MAX(SUMIF($D$11:$D$98,D45,$F$11:$F$98),G45)/H45,0)*H45))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IF(OR(D46="",G46="",H46=""),"",IF(COUNTIF($D$11:D46,D46)&gt;1,0,ROUNDUP(MAX(SUMIF($D$11:$D$98,D46,$F$11:$F$98),G46)/H46,0)*H46))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IF(OR(D47="",G47="",H47=""),"",IF(COUNTIF($D$11:D47,D47)&gt;1,0,ROUNDUP(MAX(SUMIF($D$11:$D$98,D47,$F$11:$F$98),G47)/H47,0)*H47))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IF(OR(D48="",G48="",H48=""),"",IF(COUNTIF($D$11:D48,D48)&gt;1,0,ROUNDUP(MAX(SUMIF($D$11:$D$98,D48,$F$11:$F$98),G48)/H48,0)*H48))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IF(OR(D49="",G49="",H49=""),"",IF(COUNTIF($D$11:D49,D49)&gt;1,0,ROUNDUP(MAX(SUMIF($D$11:$D$98,D49,$F$11:$F$98),G49)/H49,0)*H49))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R18, R182, R183, R242, R243, R244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10</x:v>
      </x:c>
      <x:c r="G50" t="n">
        <x:v>100</x:v>
      </x:c>
      <x:c r="H50" t="n">
        <x:v>100</x:v>
      </x:c>
      <x:c r="I50" t="n">
        <x:f>IF(OR(D50="",G50="",H50=""),"",IF(COUNTIF($D$11:D50,D50)&gt;1,0,ROUNDUP(MAX(SUMIF($D$11:$D$98,D50,$F$11:$F$98),G50)/H50,0)*H50))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0.034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 t="str">
        <x:v>Headphone_Aux sheet, 2026-10-06. Added R242, R243, R244.</x:v>
      </x:c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IF(OR(D51="",G51="",H51=""),"",IF(COUNTIF($D$11:D51,D51)&gt;1,0,ROUNDUP(MAX(SUMIF($D$11:$D$98,D51,$F$11:$F$98),G51)/H51,0)*H51))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IF(OR(D52="",G52="",H52=""),"",IF(COUNTIF($D$11:D52,D52)&gt;1,0,ROUNDUP(MAX(SUMIF($D$11:$D$98,D52,$F$11:$F$98),G52)/H52,0)*H52))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IF(OR(D53="",G53="",H53=""),"",IF(COUNTIF($D$11:D53,D53)&gt;1,0,ROUNDUP(MAX(SUMIF($D$11:$D$98,D53,$F$11:$F$98),G53)/H53,0)*H53))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IF(OR(D54="",G54="",H54=""),"",IF(COUNTIF($D$11:D54,D54)&gt;1,0,ROUNDUP(MAX(SUMIF($D$11:$D$98,D54,$F$11:$F$98),G54)/H54,0)*H54))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IF(OR(D55="",G55="",H55=""),"",IF(COUNTIF($D$11:D55,D55)&gt;1,0,ROUNDUP(MAX(SUMIF($D$11:$D$98,D55,$F$11:$F$98),G55)/H55,0)*H55))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IF(OR(D56="",G56="",H56=""),"",IF(COUNTIF($D$11:D56,D56)&gt;1,0,ROUNDUP(MAX(SUMIF($D$11:$D$98,D56,$F$11:$F$98),G56)/H56,0)*H56))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IF(OR(D57="",G57="",H57=""),"",IF(COUNTIF($D$11:D57,D57)&gt;1,0,ROUNDUP(MAX(SUMIF($D$11:$D$98,D57,$F$11:$F$98),G57)/H57,0)*H57))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C162, C191, C163, C213, C215, C217, C219, C237, C238, C242, C246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20</x:v>
      </x:c>
      <x:c r="G58" t="n">
        <x:v>100</x:v>
      </x:c>
      <x:c r="H58" t="n">
        <x:v>100</x:v>
      </x:c>
      <x:c r="I58" t="n">
        <x:f>IF(OR(D58="",G58="",H58=""),"",IF(COUNTIF($D$11:D58,D58)&gt;1,0,ROUNDUP(MAX(SUMIF($D$11:$D$98,D58,$F$11:$F$98),G58)/H58,0)*H58))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0.222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 t="str">
        <x:v>Headphone_Aux sheet, 2026-10-06. Added C237, C238, C242, C246.</x:v>
      </x:c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IF(OR(D59="",G59="",H59=""),"",IF(COUNTIF($D$11:D59,D59)&gt;1,0,ROUNDUP(MAX(SUMIF($D$11:$D$98,D59,$F$11:$F$98),G59)/H59,0)*H59))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IF(OR(D60="",G60="",H60=""),"",IF(COUNTIF($D$11:D60,D60)&gt;1,0,ROUNDUP(MAX(SUMIF($D$11:$D$98,D60,$F$11:$F$98),G60)/H60,0)*H60))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R122, R232, R233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3</x:v>
      </x:c>
      <x:c r="G61" t="n">
        <x:v>100</x:v>
      </x:c>
      <x:c r="H61" t="n">
        <x:v>100</x:v>
      </x:c>
      <x:c r="I61" t="n">
        <x:f>IF(OR(D61="",G61="",H61=""),"",IF(COUNTIF($D$11:D61,D61)&gt;1,0,ROUNDUP(MAX(SUMIF($D$11:$D$98,D61,$F$11:$F$98),G61)/H61,0)*H61))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0.0036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 t="str">
        <x:v>Headphone_Aux sheet, 2026-10-06. Added R232, R233.</x:v>
      </x:c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IF(OR(D62="",G62="",H62=""),"",IF(COUNTIF($D$11:D62,D62)&gt;1,0,ROUNDUP(MAX(SUMIF($D$11:$D$98,D62,$F$11:$F$98),G62)/H62,0)*H62))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IF(OR(D63="",G63="",H63=""),"",IF(COUNTIF($D$11:D63,D63)&gt;1,0,ROUNDUP(MAX(SUMIF($D$11:$D$98,D63,$F$11:$F$98),G63)/H63,0)*H63))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IF(OR(D64="",G64="",H64=""),"",IF(COUNTIF($D$11:D64,D64)&gt;1,0,ROUNDUP(MAX(SUMIF($D$11:$D$98,D64,$F$11:$F$98),G64)/H64,0)*H64))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IF(OR(D65="",G65="",H65=""),"",IF(COUNTIF($D$11:D65,D65)&gt;1,0,ROUNDUP(MAX(SUMIF($D$11:$D$98,D65,$F$11:$F$98),G65)/H65,0)*H65))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IF(OR(D66="",G66="",H66=""),"",IF(COUNTIF($D$11:D66,D66)&gt;1,0,ROUNDUP(MAX(SUMIF($D$11:$D$98,D66,$F$11:$F$98),G66)/H66,0)*H66))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IF(OR(D67="",G67="",H67=""),"",IF(COUNTIF($D$11:D67,D67)&gt;1,0,ROUNDUP(MAX(SUMIF($D$11:$D$98,D67,$F$11:$F$98),G67)/H67,0)*H67))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IF(OR(D68="",G68="",H68=""),"",IF(COUNTIF($D$11:D68,D68)&gt;1,0,ROUNDUP(MAX(SUMIF($D$11:$D$98,D68,$F$11:$F$98),G68)/H68,0)*H68))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R176, R180, R181, R184, R113, R211, R212, R220, R221, R222, R223, R224, R225, R234, R235, R236, R237, R238, R239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24</x:v>
      </x:c>
      <x:c r="G69" t="n">
        <x:v>100</x:v>
      </x:c>
      <x:c r="H69" t="n">
        <x:v>100</x:v>
      </x:c>
      <x:c r="I69" t="n">
        <x:f>IF(OR(D69="",G69="",H69=""),"",IF(COUNTIF($D$11:D69,D69)&gt;1,0,ROUNDUP(MAX(SUMIF($D$11:$D$98,D69,$F$11:$F$98),G69)/H69,0)*H69))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0.0864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 t="str">
        <x:v>Headphone_Aux sheet, 2026-10-06. Added R220, R221, R222, R223, R224, R225, R234, R235, R236, R237, R238, R239.</x:v>
      </x:c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IF(OR(D70="",G70="",H70=""),"",IF(COUNTIF($D$11:D70,D70)&gt;1,0,ROUNDUP(MAX(SUMIF($D$11:$D$98,D70,$F$11:$F$98),G70)/H70,0)*H70))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IF(OR(D71="",G71="",H71=""),"",IF(COUNTIF($D$11:D71,D71)&gt;1,0,ROUNDUP(MAX(SUMIF($D$11:$D$98,D71,$F$11:$F$98),G71)/H71,0)*H71))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IF(OR(D72="",G72="",H72=""),"",IF(COUNTIF($D$11:D72,D72)&gt;1,0,ROUNDUP(MAX(SUMIF($D$11:$D$98,D72,$F$11:$F$98),G72)/H72,0)*H72))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IF(OR(D73="",G73="",H73=""),"",IF(COUNTIF($D$11:D73,D73)&gt;1,0,ROUNDUP(MAX(SUMIF($D$11:$D$98,D73,$F$11:$F$98),G73)/H73,0)*H73))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IF(OR(D74="",G74="",H74=""),"",IF(COUNTIF($D$11:D74,D74)&gt;1,0,ROUNDUP(MAX(SUMIF($D$11:$D$98,D74,$F$11:$F$98),G74)/H74,0)*H74))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IF(OR(D75="",G75="",H75=""),"",IF(COUNTIF($D$11:D75,D75)&gt;1,0,ROUNDUP(MAX(SUMIF($D$11:$D$98,D75,$F$11:$F$98),G75)/H75,0)*H75))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R174, R241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4</x:v>
      </x:c>
      <x:c r="G76" t="n">
        <x:v>100</x:v>
      </x:c>
      <x:c r="H76" t="n">
        <x:v>100</x:v>
      </x:c>
      <x:c r="I76" t="n">
        <x:f>IF(OR(D76="",G76="",H76=""),"",IF(COUNTIF($D$11:D76,D76)&gt;1,0,ROUNDUP(MAX(SUMIF($D$11:$D$98,D76,$F$11:$F$98),G76)/H76,0)*H76))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0.0224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 t="str">
        <x:v>Headphone_Aux sheet, 2026-10-06. Added R241.</x:v>
      </x:c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IF(OR(D77="",G77="",H77=""),"",IF(COUNTIF($D$11:D77,D77)&gt;1,0,ROUNDUP(MAX(SUMIF($D$11:$D$98,D77,$F$11:$F$98),G77)/H77,0)*H77))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IF(OR(D78="",G78="",H78=""),"",IF(COUNTIF($D$11:D78,D78)&gt;1,0,ROUNDUP(MAX(SUMIF($D$11:$D$98,D78,$F$11:$F$98),G78)/H78,0)*H78))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IF(OR(D79="",G79="",H79=""),"",IF(COUNTIF($D$11:D79,D79)&gt;1,0,ROUNDUP(MAX(SUMIF($D$11:$D$98,D79,$F$11:$F$98),G79)/H79,0)*H79))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IF(OR(D80="",G80="",H80=""),"",IF(COUNTIF($D$11:D80,D80)&gt;1,0,ROUNDUP(MAX(SUMIF($D$11:$D$98,D80,$F$11:$F$98),G80)/H80,0)*H80))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IF(OR(D81="",G81="",H81=""),"",IF(COUNTIF($D$11:D81,D81)&gt;1,0,ROUNDUP(MAX(SUMIF($D$11:$D$98,D81,$F$11:$F$98),G81)/H81,0)*H81))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IF(OR(D82="",G82="",H82=""),"",IF(COUNTIF($D$11:D82,D82)&gt;1,0,ROUNDUP(MAX(SUMIF($D$11:$D$98,D82,$F$11:$F$98),G82)/H82,0)*H82))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IF(OR(D83="",G83="",H83=""),"",IF(COUNTIF($D$11:D83,D83)&gt;1,0,ROUNDUP(MAX(SUMIF($D$11:$D$98,D83,$F$11:$F$98),G83)/H83,0)*H83))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 t="str">
        <x:v>R185, R186, R187, R226, R227, R228, R229, R230, R231, R240</x:v>
      </x:c>
      <x:c r="B84" t="str">
        <x:v>BM83 RST_N series (R185) and UART_TXD / P0_0 TX_IND series (R186, R187) 1 kohm 1% 0603</x:v>
      </x:c>
      <x:c r="C84" t="str">
        <x:v>YAGEO</x:v>
      </x:c>
      <x:c r="D84" t="str">
        <x:v>RC0603FR-071KL</x:v>
      </x:c>
      <x:c r="E84" t="str">
        <x:v>C22548</x:v>
      </x:c>
      <x:c r="F84" t="n">
        <x:v>10</x:v>
      </x:c>
      <x:c r="G84" t="n">
        <x:v>100</x:v>
      </x:c>
      <x:c r="H84" t="n">
        <x:v>100</x:v>
      </x:c>
      <x:c r="I84" t="n">
        <x:f>IF(OR(D84="",G84="",H84=""),"",IF(COUNTIF($D$11:D84,D84)&gt;1,0,ROUNDUP(MAX(SUMIF($D$11:$D$98,D84,$F$11:$F$98),G84)/H84,0)*H84))</x:f>
        <x:v>100</x:v>
      </x:c>
      <x:c r="J84" t="n">
        <x:v>100</x:v>
      </x:c>
      <x:c r="K84" t="n">
        <x:v>0.0011</x:v>
      </x:c>
      <x:c r="L84" t="n">
        <x:f>IF(K84="","",ROUND(F84*K84,4))</x:f>
        <x:v>0.011</x:v>
      </x:c>
      <x:c r="M84" t="n">
        <x:f>IF(OR(K84="",I84="",N84=""),"",IF(N84&gt;=I84,ROUND(I84*K84,4),""))</x:f>
        <x:v>0.11</x:v>
      </x:c>
      <x:c r="N84" t="n">
        <x:v>9947200</x:v>
      </x:c>
      <x:c r="O84" t="str">
        <x:v>Search-result price/stock, 2026-10-06</x:v>
      </x:c>
      <x:c r="P84" t="n">
        <x:v>46300</x:v>
      </x:c>
      <x:c r="Q84" t="str">
        <x:v>2026-10-06</x:v>
      </x:c>
      <x:c r="R84" t="str">
        <x:v>Bluetooth sheet; LCSC number from search result, price/stock not re-verified. Headphone_Aux sheet, 2026-10-06. Added R226, R227, R228, R229, R230, R231, R240.</x:v>
      </x:c>
      <x:c r="S84" t="str">
        <x:v>https://www.lcsc.com/product-detail/C22548.html</x:v>
      </x:c>
    </x:row>
    <x:row r="85" ht="48" customHeight="1">
      <x:c r="A85" t="str">
        <x:v>J8</x:v>
      </x:c>
      <x:c r="B85" t="str">
        <x:v>BM83 test/programming header 1x5 2.54 mm (RST_N, P3_4, UART RX/TX, GND)</x:v>
      </x:c>
      <x:c r="C85" t="str">
        <x:v>XYECONN</x:v>
      </x:c>
      <x:c r="D85" t="str">
        <x:v>XY-MTP254-1X5</x:v>
      </x:c>
      <x:c r="E85" t="str">
        <x:v>C54110162</x:v>
      </x:c>
      <x:c r="F85" t="n">
        <x:v>1</x:v>
      </x:c>
      <x:c r="G85" t="n">
        <x:v>10</x:v>
      </x:c>
      <x:c r="H85" t="n">
        <x:v>10</x:v>
      </x:c>
      <x:c r="I85" t="n">
        <x:f>IF(OR(D85="",G85="",H85=""),"",IF(COUNTIF($D$11:D85,D85)&gt;1,0,ROUNDUP(MAX(SUMIF($D$11:$D$98,D85,$F$11:$F$98),G85)/H85,0)*H85))</x:f>
        <x:v>10</x:v>
      </x:c>
      <x:c r="J85" t="n">
        <x:v>10</x:v>
      </x:c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Stock/price unverified</x:v>
      </x:c>
      <x:c r="P85" t="n">
        <x:v>46300</x:v>
      </x:c>
      <x:c r="Q85" t="str">
        <x:v>2026-10-06</x:v>
      </x:c>
      <x:c r="R85" t="str">
        <x:v>Bluetooth sheet; part number carried from the earlier 1x5 SWD header selection, not re-verified.</x:v>
      </x:c>
      <x:c r="S85" t="str">
        <x:v>https://www.lcsc.com/product-detail/C54110162.html</x:v>
      </x:c>
    </x:row>
    <x:row r="86" ht="54" customHeight="1">
      <x:c r="A86" t="str">
        <x:v>C164</x:v>
      </x:c>
      <x:c r="B86" t="str">
        <x:v>MCU VREF+ 1uF (DS12232 fig. 13)</x:v>
      </x:c>
      <x:c r="C86" t="str">
        <x:v>Samsung Electro-Mechanics</x:v>
      </x:c>
      <x:c r="D86" t="str">
        <x:v>CL10A105KB8NNNC</x:v>
      </x:c>
      <x:c r="E86" t="str">
        <x:v>C15849</x:v>
      </x:c>
      <x:c r="F86" t="n">
        <x:v>1</x:v>
      </x:c>
      <x:c r="G86" t="n">
        <x:v>10</x:v>
      </x:c>
      <x:c r="H86" t="n">
        <x:v>10</x:v>
      </x:c>
      <x:c r="I86" t="n">
        <x:f>IF(OR(D86="",G86="",H86=""),"",IF(COUNTIF($D$11:D86,D86)&gt;1,0,ROUNDUP(MAX(SUMIF($D$11:$D$98,D86,$F$11:$F$98),G86)/H86,0)*H86))</x:f>
        <x:v>10</x:v>
      </x:c>
      <x:c r="J86" t="n">
        <x:v>10</x:v>
      </x:c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Stock/price unverified</x:v>
      </x:c>
      <x:c r="P86" t="n">
        <x:v>46300</x:v>
      </x:c>
      <x:c r="Q86" t="str">
        <x:v>2026-10-06</x:v>
      </x:c>
      <x:c r="R86" t="str">
        <x:v>LCSC code from memory of the Samsung 1uF 0603 family; verify code, voltage rating and DC-bias at order.</x:v>
      </x:c>
      <x:c r="S86" t="str">
        <x:v>https://www.lcsc.com/product-detail/C15849.html</x:v>
      </x:c>
    </x:row>
    <x:row r="87" ht="54" customHeight="1">
      <x:c r="A87" t="str">
        <x:v>U24</x:v>
      </x:c>
      <x:c r="B87" t="str">
        <x:v>Audio ADC 4:1 input, I2S master (TSSOP-30)</x:v>
      </x:c>
      <x:c r="C87" t="str">
        <x:v>TI</x:v>
      </x:c>
      <x:c r="D87" t="str">
        <x:v>PCM1862DBTR</x:v>
      </x:c>
      <x:c r="E87" t="str">
        <x:v>C544647</x:v>
      </x:c>
      <x:c r="F87" t="n">
        <x:v>1</x:v>
      </x:c>
      <x:c r="G87" t="n">
        <x:v>1</x:v>
      </x:c>
      <x:c r="H87" t="n">
        <x:v>1</x:v>
      </x:c>
      <x:c r="I87" t="n">
        <x:f>IF(OR(D87="",G87="",H87=""),"",IF(COUNTIF($D$11:D87,D87)&gt;1,0,ROUNDUP(MAX(SUMIF($D$11:$D$98,D87,$F$11:$F$98),G87)/H87,0)*H87))</x:f>
        <x:v>1</x:v>
      </x:c>
      <x:c r="J87" t="n">
        <x:v>1</x:v>
      </x:c>
      <x:c r="K87"/>
      <x:c r="L87" t="str">
        <x:f>IF(K87="","",ROUND(F87*K87,4))</x:f>
      </x:c>
      <x:c r="M87" t="str">
        <x:f>IF(OR(K87="",I87="",N87=""),"",IF(N87&gt;=I87,ROUND(I87*K87,4),""))</x:f>
      </x:c>
      <x:c r="N87"/>
      <x:c r="O87" t="str">
        <x:v>LCSC number from search 2026-10-06; price/stock unverified</x:v>
      </x:c>
      <x:c r="P87" t="n">
        <x:v>46300</x:v>
      </x:c>
      <x:c r="Q87" t="str">
        <x:v>2026-10-06</x:v>
      </x:c>
      <x:c r="R87" t="str">
        <x:v>Source_Select_ADC sheet, 2026-10-06. Datasheet SLAS831D.</x:v>
      </x:c>
      <x:c r="S87" t="str">
        <x:v>https://www.lcsc.com/product-detail/C544647.html</x:v>
      </x:c>
    </x:row>
    <x:row r="88">
      <x:c r="A88" t="str">
        <x:v>U22</x:v>
      </x:c>
      <x:c r="B88" t="str">
        <x:v>3V3_AUDIO 300 mA ultra-low-noise LDO</x:v>
      </x:c>
      <x:c r="C88" t="str">
        <x:v>TI</x:v>
      </x:c>
      <x:c r="D88" t="str">
        <x:v>TPS7A2033PDBVR</x:v>
      </x:c>
      <x:c r="E88" t="str">
        <x:v>C2862740</x:v>
      </x:c>
      <x:c r="F88" t="n">
        <x:v>1</x:v>
      </x:c>
      <x:c r="G88" t="n">
        <x:v>1</x:v>
      </x:c>
      <x:c r="H88" t="n">
        <x:v>1</x:v>
      </x:c>
      <x:c r="I88" t="n">
        <x:f>IF(OR(D88="",G88="",H88=""),"",IF(COUNTIF($D$11:D88,D88)&gt;1,0,ROUNDUP(MAX(SUMIF($D$11:$D$98,D88,$F$11:$F$98),G88)/H88,0)*H88))</x:f>
        <x:v>1</x:v>
      </x:c>
      <x:c r="J88" t="n">
        <x:v>1</x:v>
      </x:c>
      <x:c r="K88"/>
      <x:c r="L88" t="str">
        <x:f>IF(K88="","",ROUND(F88*K88,4))</x:f>
      </x:c>
      <x:c r="M88" t="str">
        <x:f>IF(OR(K88="",I88="",N88=""),"",IF(N88&gt;=I88,ROUND(I88*K88,4),""))</x:f>
      </x:c>
      <x:c r="N88"/>
      <x:c r="O88" t="str">
        <x:v>LCSC number from search 2026-10-06; price/stock unverified</x:v>
      </x:c>
      <x:c r="P88" t="n">
        <x:v>46300</x:v>
      </x:c>
      <x:c r="Q88" t="str">
        <x:v>2026-10-06</x:v>
      </x:c>
      <x:c r="R88" t="str">
        <x:v>Source_Select_ADC sheet, 2026-10-06. A TECH PUBLIC TPS7A2033PDBVR-TP clone is listed as C49452001; TI part chosen.</x:v>
      </x:c>
      <x:c r="S88" t="str">
        <x:v>https://www.lcsc.com/product-detail/C2862740.html</x:v>
      </x:c>
    </x:row>
    <x:row r="89">
      <x:c r="A89" t="str">
        <x:v>U23</x:v>
      </x:c>
      <x:c r="B89" t="str">
        <x:v>5V_CODEC load switch (SOT-23-6)</x:v>
      </x:c>
      <x:c r="C89" t="str">
        <x:v>TI</x:v>
      </x:c>
      <x:c r="D89" t="str">
        <x:v>TPS22917DBVR</x:v>
      </x:c>
      <x:c r="E89" t="str">
        <x:v>C2681320</x:v>
      </x:c>
      <x:c r="F89" t="n">
        <x:v>1</x:v>
      </x:c>
      <x:c r="G89" t="n">
        <x:v>1</x:v>
      </x:c>
      <x:c r="H89" t="n">
        <x:v>1</x:v>
      </x:c>
      <x:c r="I89" t="n">
        <x:f>IF(OR(D89="",G89="",H89=""),"",IF(COUNTIF($D$11:D89,D89)&gt;1,0,ROUNDUP(MAX(SUMIF($D$11:$D$98,D89,$F$11:$F$98),G89)/H89,0)*H89))</x:f>
        <x:v>1</x:v>
      </x:c>
      <x:c r="J89" t="n">
        <x:v>1</x:v>
      </x:c>
      <x:c r="K89"/>
      <x:c r="L89" t="str">
        <x:f>IF(K89="","",ROUND(F89*K89,4))</x:f>
      </x:c>
      <x:c r="M89" t="str">
        <x:f>IF(OR(K89="",I89="",N89=""),"",IF(N89&gt;=I89,ROUND(I89*K89,4),""))</x:f>
      </x:c>
      <x:c r="N89"/>
      <x:c r="O89" t="str">
        <x:v>LCSC number from search 2026-10-06; price/stock unverified</x:v>
      </x:c>
      <x:c r="P89" t="n">
        <x:v>46300</x:v>
      </x:c>
      <x:c r="Q89" t="str">
        <x:v>2026-10-06</x:v>
      </x:c>
      <x:c r="R89" t="str">
        <x:v>Source_Select_ADC sheet, 2026-10-06. Pinout checked against SLVSDW8B.</x:v>
      </x:c>
      <x:c r="S89" t="str">
        <x:v>https://www.lcsc.com/product-detail/C2681320.html</x:v>
      </x:c>
    </x:row>
    <x:row r="90">
      <x:c r="A90" t="str">
        <x:v>Y200</x:v>
      </x:c>
      <x:c r="B90" t="str">
        <x:v>24.576 MHz crystal for PCM1862 (3225-4P, CL 15 pF)</x:v>
      </x:c>
      <x:c r="C90" t="str">
        <x:v>Lucki</x:v>
      </x:c>
      <x:c r="D90" t="str">
        <x:v>L327S240P11L</x:v>
      </x:c>
      <x:c r="E90" t="str">
        <x:v>C5261154</x:v>
      </x:c>
      <x:c r="F90" t="n">
        <x:v>1</x:v>
      </x:c>
      <x:c r="G90" t="n">
        <x:v>1</x:v>
      </x:c>
      <x:c r="H90" t="n">
        <x:v>1</x:v>
      </x:c>
      <x:c r="I90" t="n">
        <x:f>IF(OR(D90="",G90="",H90=""),"",IF(COUNTIF($D$11:D90,D90)&gt;1,0,ROUNDUP(MAX(SUMIF($D$11:$D$98,D90,$F$11:$F$98),G90)/H90,0)*H90))</x:f>
        <x:v>1</x:v>
      </x:c>
      <x:c r="J90" t="n">
        <x:v>1</x:v>
      </x:c>
      <x:c r="K90"/>
      <x:c r="L90" t="str">
        <x:f>IF(K90="","",ROUND(F90*K90,4))</x:f>
      </x:c>
      <x:c r="M90" t="str">
        <x:f>IF(OR(K90="",I90="",N90=""),"",IF(N90&gt;=I90,ROUND(I90*K90,4),""))</x:f>
      </x:c>
      <x:c r="N90"/>
      <x:c r="O90" t="str">
        <x:v>LCSC number from search 2026-10-06; price/stock unverified</x:v>
      </x:c>
      <x:c r="P90" t="n">
        <x:v>46300</x:v>
      </x:c>
      <x:c r="Q90" t="str">
        <x:v>2026-10-06</x:v>
      </x:c>
      <x:c r="R90" t="str">
        <x:v>Source_Select_ADC sheet, 2026-10-06. Datasheet not retrieved; pad usage 1/3 assumed. Two 20 pF caps give about 13 pF CL; trim at bring-up.</x:v>
      </x:c>
      <x:c r="S90" t="str">
        <x:v>https://www.lcsc.com/product-detail/C5261154.html</x:v>
      </x:c>
    </x:row>
    <x:row r="91">
      <x:c r="A91" t="str">
        <x:v>FB200</x:v>
      </x:c>
      <x:c r="B91" t="str">
        <x:v>AVDD ferrite bead 600 ohm @100 MHz 0603</x:v>
      </x:c>
      <x:c r="C91" t="str">
        <x:v>Murata</x:v>
      </x:c>
      <x:c r="D91" t="str">
        <x:v>BLM18AG601SN1D</x:v>
      </x:c>
      <x:c r="E91" t="str">
        <x:v>C19330</x:v>
      </x:c>
      <x:c r="F91" t="n">
        <x:v>1</x:v>
      </x:c>
      <x:c r="G91" t="n">
        <x:v>10</x:v>
      </x:c>
      <x:c r="H91" t="n">
        <x:v>10</x:v>
      </x:c>
      <x:c r="I91" t="n">
        <x:f>IF(OR(D91="",G91="",H91=""),"",IF(COUNTIF($D$11:D91,D91)&gt;1,0,ROUNDUP(MAX(SUMIF($D$11:$D$98,D91,$F$11:$F$98),G91)/H91,0)*H91))</x:f>
        <x:v>10</x:v>
      </x:c>
      <x:c r="J91" t="n">
        <x:v>10</x:v>
      </x:c>
      <x:c r="K91"/>
      <x:c r="L91" t="str">
        <x:f>IF(K91="","",ROUND(F91*K91,4))</x:f>
      </x:c>
      <x:c r="M91" t="str">
        <x:f>IF(OR(K91="",I91="",N91=""),"",IF(N91&gt;=I91,ROUND(I91*K91,4),""))</x:f>
      </x:c>
      <x:c r="N91"/>
      <x:c r="O91" t="str">
        <x:v>LCSC number from search 2026-10-06; price/stock unverified</x:v>
      </x:c>
      <x:c r="P91" t="n">
        <x:v>46300</x:v>
      </x:c>
      <x:c r="Q91" t="str">
        <x:v>2026-10-06</x:v>
      </x:c>
      <x:c r="R91" t="str">
        <x:v>Source_Select_ADC sheet, 2026-10-06. 0.5 A, 380 mOhm DCR (search snapshot).</x:v>
      </x:c>
      <x:c r="S91" t="str">
        <x:v>https://www.lcsc.com/product-detail/C19330.html</x:v>
      </x:c>
    </x:row>
    <x:row r="92">
      <x:c r="A92" t="str">
        <x:v>C200, C201, C202, C203, C204, C205, C243, C244</x:v>
      </x:c>
      <x:c r="B92" t="str">
        <x:v>Input AC-coupling 2.2uF X7R 0805</x:v>
      </x:c>
      <x:c r="C92" t="str">
        <x:v>Samsung Electro-Mechanics</x:v>
      </x:c>
      <x:c r="D92" t="str">
        <x:v>CL21B225KAFNNNE</x:v>
      </x:c>
      <x:c r="E92" t="str">
        <x:v>C19110</x:v>
      </x:c>
      <x:c r="F92" t="n">
        <x:v>8</x:v>
      </x:c>
      <x:c r="G92" t="n">
        <x:v>10</x:v>
      </x:c>
      <x:c r="H92" t="n">
        <x:v>10</x:v>
      </x:c>
      <x:c r="I92" t="n">
        <x:f>IF(OR(D92="",G92="",H92=""),"",IF(COUNTIF($D$11:D92,D92)&gt;1,0,ROUNDUP(MAX(SUMIF($D$11:$D$98,D92,$F$11:$F$98),G92)/H92,0)*H92))</x:f>
        <x:v>10</x:v>
      </x:c>
      <x:c r="J92" t="n">
        <x:v>10</x:v>
      </x:c>
      <x:c r="K92"/>
      <x:c r="L92" t="str">
        <x:f>IF(K92="","",ROUND(F92*K92,4))</x:f>
      </x:c>
      <x:c r="M92" t="str">
        <x:f>IF(OR(K92="",I92="",N92=""),"",IF(N92&gt;=I92,ROUND(I92*K92,4),""))</x:f>
      </x:c>
      <x:c r="N92"/>
      <x:c r="O92" t="str">
        <x:v>LCSC number from search 2026-10-06; price/stock unverified</x:v>
      </x:c>
      <x:c r="P92" t="n">
        <x:v>46300</x:v>
      </x:c>
      <x:c r="Q92" t="str">
        <x:v>2026-10-06</x:v>
      </x:c>
      <x:c r="R92" t="str">
        <x:v>Source_Select_ADC sheet, 2026-10-06. Unverified: LCSC code/price/stock not checked at this BOM freeze. Check voltage rating and DC-bias. Headphone_Aux sheet, 2026-10-06. Added C243, C244.</x:v>
      </x:c>
      <x:c r="S92" t="str">
        <x:v>https://www.lcsc.com/product-detail/C19110.html</x:v>
      </x:c>
    </x:row>
    <x:row r="93">
      <x:c r="A93" t="str">
        <x:v>C206, C207, C208, C209, C210, C211</x:v>
      </x:c>
      <x:c r="B93" t="str">
        <x:v>Input anti-alias 10nF C0G 0603</x:v>
      </x:c>
      <x:c r="C93" t="str">
        <x:v>Murata</x:v>
      </x:c>
      <x:c r="D93" t="str">
        <x:v>GRM1885C1H103JA01D</x:v>
      </x:c>
      <x:c r="E93" t="str"/>
      <x:c r="F93" t="n">
        <x:v>6</x:v>
      </x:c>
      <x:c r="G93" t="n">
        <x:v>10</x:v>
      </x:c>
      <x:c r="H93" t="n">
        <x:v>10</x:v>
      </x:c>
      <x:c r="I93" t="n">
        <x:f>IF(OR(D93="",G93="",H93=""),"",IF(COUNTIF($D$11:D93,D93)&gt;1,0,ROUNDUP(MAX(SUMIF($D$11:$D$98,D93,$F$11:$F$98),G93)/H93,0)*H93))</x:f>
        <x:v>10</x:v>
      </x:c>
      <x:c r="J93" t="n">
        <x:v>10</x:v>
      </x:c>
      <x:c r="K93"/>
      <x:c r="L93" t="str">
        <x:f>IF(K93="","",ROUND(F93*K93,4))</x:f>
      </x:c>
      <x:c r="M93" t="str">
        <x:f>IF(OR(K93="",I93="",N93=""),"",IF(N93&gt;=I93,ROUND(I93*K93,4),""))</x:f>
      </x:c>
      <x:c r="N93"/>
      <x:c r="O93" t="str">
        <x:v>LCSC code not looked up</x:v>
      </x:c>
      <x:c r="P93" t="n">
        <x:v>46300</x:v>
      </x:c>
      <x:c r="Q93" t="str">
        <x:v>2026-10-06</x:v>
      </x:c>
      <x:c r="R93" t="str">
        <x:v>Source_Select_ADC sheet, 2026-10-06. Unverified: LCSC code/price/stock not checked at this BOM freeze. LCSC code still open: no lookups left in the Headphone_Aux task budget.</x:v>
      </x:c>
      <x:c r="S93" t="str"/>
    </x:row>
    <x:row r="94">
      <x:c r="A94" t="str">
        <x:v>C226, C227</x:v>
      </x:c>
      <x:c r="B94" t="str">
        <x:v>Crystal load capacitors 22 pF C0G 0603</x:v>
      </x:c>
      <x:c r="C94" t="str">
        <x:v>Samsung Electro-Mechanics</x:v>
      </x:c>
      <x:c r="D94" t="str">
        <x:v>CL10C220JB8NNNC</x:v>
      </x:c>
      <x:c r="E94" t="str">
        <x:v>C1653</x:v>
      </x:c>
      <x:c r="F94" t="n">
        <x:v>2</x:v>
      </x:c>
      <x:c r="G94" t="n">
        <x:v>100</x:v>
      </x:c>
      <x:c r="H94" t="n">
        <x:v>100</x:v>
      </x:c>
      <x:c r="I94" t="n">
        <x:f>IF(OR(D94="",G94="",H94=""),"",IF(COUNTIF($D$11:D94,D94)&gt;1,0,ROUNDUP(MAX(SUMIF($D$11:$D$98,D94,$F$11:$F$98),G94)/H94,0)*H94))</x:f>
        <x:v>100</x:v>
      </x:c>
      <x:c r="J94" t="n">
        <x:v>100</x:v>
      </x:c>
      <x:c r="K94"/>
      <x:c r="L94" t="str">
        <x:f>IF(K94="","",ROUND(F94*K94,4))</x:f>
      </x:c>
      <x:c r="M94" t="str">
        <x:f>IF(OR(K94="",I94="",N94=""),"",IF(N94&gt;=I94,ROUND(I94*K94,4),""))</x:f>
      </x:c>
      <x:c r="N94"/>
      <x:c r="O94" t="str">
        <x:v>LCSC number from search 2026-10-06 (JLCPCB C1653 page); price/stock unverified</x:v>
      </x:c>
      <x:c r="P94" t="n">
        <x:v>46300</x:v>
      </x:c>
      <x:c r="Q94" t="str">
        <x:v>2026-10-06</x:v>
      </x:c>
      <x:c r="R94" t="str">
        <x:v>Source_Select_ADC sheet. Changed from 20 pF 2026-10-06: 2 x 22 pF in series plus ~3 pF stray gives about 14 pF for the 15 pF crystal. Unverified: price/stock not checked.</x:v>
      </x:c>
      <x:c r="S94" t="str">
        <x:v>https://www.lcsc.com/product-detail/C1653.html</x:v>
      </x:c>
    </x:row>
    <x:row r="95">
      <x:c r="A95" t="str">
        <x:v>R200, R201, R202, R203, R204, R205</x:v>
      </x:c>
      <x:c r="B95" t="str">
        <x:v>Input series 100 ohm 1% 0603</x:v>
      </x:c>
      <x:c r="C95" t="str">
        <x:v>YAGEO</x:v>
      </x:c>
      <x:c r="D95" t="str">
        <x:v>RC0603FR-07100RL</x:v>
      </x:c>
      <x:c r="E95" t="str">
        <x:v>C105588</x:v>
      </x:c>
      <x:c r="F95" t="n">
        <x:v>6</x:v>
      </x:c>
      <x:c r="G95" t="n">
        <x:v>100</x:v>
      </x:c>
      <x:c r="H95" t="n">
        <x:v>100</x:v>
      </x:c>
      <x:c r="I95" t="n">
        <x:f>IF(OR(D95="",G95="",H95=""),"",IF(COUNTIF($D$11:D95,D95)&gt;1,0,ROUNDUP(MAX(SUMIF($D$11:$D$98,D95,$F$11:$F$98),G95)/H95,0)*H95))</x:f>
        <x:v>0</x:v>
      </x:c>
      <x:c r="J95" t="n">
        <x:v>100</x:v>
      </x:c>
      <x:c r="K95" t="n">
        <x:v>0.0024</x:v>
      </x:c>
      <x:c r="L95" t="n">
        <x:f>IF(K95="","",ROUND(F95*K95,4))</x:f>
        <x:v>0.0144</x:v>
      </x:c>
      <x:c r="M95" t="str">
        <x:f>IF(OR(K95="",I95="",N95=""),"",IF(N95&gt;=I95,ROUND(I95*K95,4),""))</x:f>
      </x:c>
      <x:c r="N95" t="n">
        <x:v>2943700</x:v>
      </x:c>
      <x:c r="O95" t="str">
        <x:v>LCSC code and price reused from the R112 row (same MPN)</x:v>
      </x:c>
      <x:c r="P95" t="n">
        <x:v>46300</x:v>
      </x:c>
      <x:c r="Q95" t="str">
        <x:v>2026-10-06</x:v>
      </x:c>
      <x:c r="R95" t="str">
        <x:v>Source_Select_ADC sheet, 2026-10-06. Unverified: LCSC code/price/stock not checked at this BOM freeze.</x:v>
      </x:c>
      <x:c r="S95" t="str">
        <x:v>https://www.lcsc.com/product-detail/C105588.html</x:v>
      </x:c>
    </x:row>
    <x:row r="96">
      <x:c r="A96" t="str">
        <x:v>R206, R207, R208</x:v>
      </x:c>
      <x:c r="B96" t="str">
        <x:v>I2S series 33 ohm 1% 0603</x:v>
      </x:c>
      <x:c r="C96" t="str">
        <x:v>YAGEO</x:v>
      </x:c>
      <x:c r="D96" t="str">
        <x:v>RC0603FR-0733RL</x:v>
      </x:c>
      <x:c r="E96" t="str"/>
      <x:c r="F96" t="n">
        <x:v>3</x:v>
      </x:c>
      <x:c r="G96" t="n">
        <x:v>100</x:v>
      </x:c>
      <x:c r="H96" t="n">
        <x:v>100</x:v>
      </x:c>
      <x:c r="I96" t="n">
        <x:f>IF(OR(D96="",G96="",H96=""),"",IF(COUNTIF($D$11:D96,D96)&gt;1,0,ROUNDUP(MAX(SUMIF($D$11:$D$98,D96,$F$11:$F$98),G96)/H96,0)*H96))</x:f>
        <x:v>100</x:v>
      </x:c>
      <x:c r="J96" t="n">
        <x:v>100</x:v>
      </x:c>
      <x:c r="K96"/>
      <x:c r="L96" t="str">
        <x:f>IF(K96="","",ROUND(F96*K96,4))</x:f>
      </x:c>
      <x:c r="M96" t="str">
        <x:f>IF(OR(K96="",I96="",N96=""),"",IF(N96&gt;=I96,ROUND(I96*K96,4),""))</x:f>
      </x:c>
      <x:c r="N96"/>
      <x:c r="O96" t="str">
        <x:v>LCSC code not looked up</x:v>
      </x:c>
      <x:c r="P96" t="n">
        <x:v>46300</x:v>
      </x:c>
      <x:c r="Q96" t="str">
        <x:v>2026-10-06</x:v>
      </x:c>
      <x:c r="R96" t="str">
        <x:v>Source_Select_ADC sheet, 2026-10-06. Unverified: LCSC code/price/stock not checked at this BOM freeze. LCSC code still open: no lookups left in the Headphone_Aux task budget.</x:v>
      </x:c>
      <x:c r="S96" t="str"/>
    </x:row>
    <x:row r="97">
      <x:c r="A97" t="str">
        <x:v>R209, R210</x:v>
      </x:c>
      <x:c r="B97" t="str">
        <x:v>Audio I2C pull-ups 2.2k 1% 0603</x:v>
      </x:c>
      <x:c r="C97" t="str">
        <x:v>YAGEO</x:v>
      </x:c>
      <x:c r="D97" t="str">
        <x:v>RC0603FR-072K2L</x:v>
      </x:c>
      <x:c r="E97" t="str">
        <x:v>C114662</x:v>
      </x:c>
      <x:c r="F97" t="n">
        <x:v>2</x:v>
      </x:c>
      <x:c r="G97" t="n">
        <x:v>100</x:v>
      </x:c>
      <x:c r="H97" t="n">
        <x:v>100</x:v>
      </x:c>
      <x:c r="I97" t="n">
        <x:f>IF(OR(D97="",G97="",H97=""),"",IF(COUNTIF($D$11:D97,D97)&gt;1,0,ROUNDUP(MAX(SUMIF($D$11:$D$98,D97,$F$11:$F$98),G97)/H97,0)*H97))</x:f>
        <x:v>100</x:v>
      </x:c>
      <x:c r="J97" t="n">
        <x:v>100</x:v>
      </x:c>
      <x:c r="K97"/>
      <x:c r="L97" t="str">
        <x:f>IF(K97="","",ROUND(F97*K97,4))</x:f>
      </x:c>
      <x:c r="M97" t="str">
        <x:f>IF(OR(K97="",I97="",N97=""),"",IF(N97&gt;=I97,ROUND(I97*K97,4),""))</x:f>
      </x:c>
      <x:c r="N97"/>
      <x:c r="O97" t="str">
        <x:v>LCSC number from search 2026-10-06; price/stock unverified</x:v>
      </x:c>
      <x:c r="P97" t="n">
        <x:v>46300</x:v>
      </x:c>
      <x:c r="Q97" t="str">
        <x:v>2026-10-06</x:v>
      </x:c>
      <x:c r="R97" t="str">
        <x:v>Source_Select_ADC sheet, 2026-10-06. Unverified: LCSC code/price/stock not checked at this BOM freeze.</x:v>
      </x:c>
      <x:c r="S97" t="str">
        <x:v>https://www.lcsc.com/product-detail/C114662.html</x:v>
      </x:c>
    </x:row>
    <x:row r="98">
      <x:c r="A98" t="str">
        <x:v>D200, D201</x:v>
      </x:c>
      <x:c r="B98" t="str">
        <x:v>Headphone jack / AUX_IN jack ESD, 2-line bidirectional 5 V (SOT-23)</x:v>
      </x:c>
      <x:c r="C98" t="str">
        <x:v>DOWO (Nexperia PESD5V0S2BT equivalent)</x:v>
      </x:c>
      <x:c r="D98" t="str">
        <x:v>PESD5V0S2BT</x:v>
      </x:c>
      <x:c r="E98" t="str">
        <x:v>C5380400</x:v>
      </x:c>
      <x:c r="F98" t="n">
        <x:v>2</x:v>
      </x:c>
      <x:c r="G98" t="n">
        <x:v>5</x:v>
      </x:c>
      <x:c r="H98" t="n">
        <x:v>5</x:v>
      </x:c>
      <x:c r="I98" t="n">
        <x:f>IF(OR(D98="",G98="",H98=""),"",IF(COUNTIF($D$11:D98,D98)&gt;1,0,ROUNDUP(MAX(SUMIF($D$11:$D$98,D98,$F$11:$F$98),G98)/H98,0)*H98))</x:f>
        <x:v>5</x:v>
      </x:c>
      <x:c r="J98" t="n">
        <x:v>5</x:v>
      </x:c>
      <x:c r="K98"/>
      <x:c r="L98" t="str">
        <x:f>IF(K98="","",ROUND(F98*K98,4))</x:f>
      </x:c>
      <x:c r="M98" t="str">
        <x:f>IF(OR(K98="",I98="",N98=""),"",IF(N98&gt;=I98,ROUND(I98*K98,4),""))</x:f>
      </x:c>
      <x:c r="N98"/>
      <x:c r="O98" t="str">
        <x:v>LCSC number from search 2026-10-06; price/stock unverified</x:v>
      </x:c>
      <x:c r="P98" t="n">
        <x:v>46300</x:v>
      </x:c>
      <x:c r="Q98" t="str">
        <x:v>2026-10-06</x:v>
      </x:c>
      <x:c r="R98" t="str">
        <x:v>Headphone_Aux sheet, 2026-10-06. LCSC C5380400 is the DOWO PESD5V0S2BT listing; the Nexperia original was not stock-checked. Pin 3 common (search summary of Nexperia datasheet): VERIFY. Footprint DesktopSpeaker:PESD5V0S2BT (stock SOT-23).</x:v>
      </x:c>
      <x:c r="S98" t="str">
        <x:v>https://www.lcsc.com/product-detail/C5380400.html</x:v>
      </x:c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</x:row>
    <x:row r="100">
      <x:c r="A100" t="str">
        <x:v>U18 links a derived STEP with corrected exposed pad; manufacturer exact model remains unavailable.</x:v>
      </x:c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</x:row>
    <x:row r="102">
      <x:c r="A102" t="str">
        <x:v>U18 links a derived STEP with corrected exposed pad; manufacturer exact model remains unavailable.</x:v>
      </x:c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