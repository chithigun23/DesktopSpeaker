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aa7718e4bd48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88769a16ef424944"/>
    <x:sheet xmlns:r="http://schemas.openxmlformats.org/officeDocument/2006/relationships" name="Open selections" sheetId="2" r:id="R15cd418c244a42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4591d631584c72" /><Relationship Type="http://schemas.openxmlformats.org/officeDocument/2006/relationships/theme" Target="/xl/theme/theme1.xml" Id="Rb0e238ebb4394a8f" /><Relationship Type="http://schemas.openxmlformats.org/officeDocument/2006/relationships/sharedStrings" Target="/xl/sharedStrings.xml" Id="Rab1b3ee242b54252" /><Relationship Type="http://schemas.openxmlformats.org/officeDocument/2006/relationships/worksheet" Target="/xl/worksheets/sheet1.xml" Id="R88769a16ef424944" /><Relationship Type="http://schemas.openxmlformats.org/officeDocument/2006/relationships/worksheet" Target="/xl/worksheets/sheet2.xml" Id="R15cd418c244a42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ROUND(SUM(L11:L102),2)</x:f>
        <x:v>74.53</x:v>
      </x:c>
      <x:c r="F4" s="1"/>
      <x:c r="G4" s="1" t="str">
        <x:v>BOM updated 2026-10-06: all R/C repackaged to hand-solder 0402 (0805 for large/high-voltage capacitors); many new passive MPNs and LCSC codes are unverified, so subtotal is partial.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ROUND(SUM(M11:M102),2)</x:f>
        <x:v>84.5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IF(OR(D11="",G11="",H11=""),"",IF(COUNTIF($D$11:D11,D11)&gt;1,0,ROUNDUP(MAX(SUMIF($D$11:$D$102,D11,$F$11:$F$102),G11)/H11,0)*H11))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IF(OR(D12="",G12="",H12=""),"",IF(COUNTIF($D$11:D12,D12)&gt;1,0,ROUNDUP(MAX(SUMIF($D$11:$D$102,D12,$F$11:$F$102),G12)/H12,0)*H12))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IF(OR(D13="",G13="",H13=""),"",IF(COUNTIF($D$11:D13,D13)&gt;1,0,ROUNDUP(MAX(SUMIF($D$11:$D$102,D13,$F$11:$F$102),G13)/H13,0)*H13))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IF(OR(D14="",G14="",H14=""),"",IF(COUNTIF($D$11:D14,D14)&gt;1,0,ROUNDUP(MAX(SUMIF($D$11:$D$102,D14,$F$11:$F$102),G14)/H14,0)*H14))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IF(OR(D15="",G15="",H15=""),"",IF(COUNTIF($D$11:D15,D15)&gt;1,0,ROUNDUP(MAX(SUMIF($D$11:$D$102,D15,$F$11:$F$102),G15)/H15,0)*H15))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IF(OR(D16="",G16="",H16=""),"",IF(COUNTIF($D$11:D16,D16)&gt;1,0,ROUNDUP(MAX(SUMIF($D$11:$D$102,D16,$F$11:$F$102),G16)/H16,0)*H16))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IF(OR(D17="",G17="",H17=""),"",IF(COUNTIF($D$11:D17,D17)&gt;1,0,ROUNDUP(MAX(SUMIF($D$11:$D$102,D17,$F$11:$F$102),G17)/H17,0)*H17))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IF(OR(D18="",G18="",H18=""),"",IF(COUNTIF($D$11:D18,D18)&gt;1,0,ROUNDUP(MAX(SUMIF($D$11:$D$102,D18,$F$11:$F$102),G18)/H18,0)*H18))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IF(OR(D19="",G19="",H19=""),"",IF(COUNTIF($D$11:D19,D19)&gt;1,0,ROUNDUP(MAX(SUMIF($D$11:$D$102,D19,$F$11:$F$102),G19)/H19,0)*H19))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IF(OR(D20="",G20="",H20=""),"",IF(COUNTIF($D$11:D20,D20)&gt;1,0,ROUNDUP(MAX(SUMIF($D$11:$D$102,D20,$F$11:$F$102),G20)/H20,0)*H20))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IF(OR(D21="",G21="",H21=""),"",IF(COUNTIF($D$11:D21,D21)&gt;1,0,ROUNDUP(MAX(SUMIF($D$11:$D$102,D21,$F$11:$F$102),G21)/H21,0)*H21))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IF(OR(D22="",G22="",H22=""),"",IF(COUNTIF($D$11:D22,D22)&gt;1,0,ROUNDUP(MAX(SUMIF($D$11:$D$102,D22,$F$11:$F$102),G22)/H22,0)*H22))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IF(OR(D23="",G23="",H23=""),"",IF(COUNTIF($D$11:D23,D23)&gt;1,0,ROUNDUP(MAX(SUMIF($D$11:$D$102,D23,$F$11:$F$102),G23)/H23,0)*H23))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IF(OR(D24="",G24="",H24=""),"",IF(COUNTIF($D$11:D24,D24)&gt;1,0,ROUNDUP(MAX(SUMIF($D$11:$D$102,D24,$F$11:$F$102),G24)/H24,0)*H24))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IF(OR(D25="",G25="",H25=""),"",IF(COUNTIF($D$11:D25,D25)&gt;1,0,ROUNDUP(MAX(SUMIF($D$11:$D$102,D25,$F$11:$F$102),G25)/H25,0)*H25))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IF(OR(D26="",G26="",H26=""),"",IF(COUNTIF($D$11:D26,D26)&gt;1,0,ROUNDUP(MAX(SUMIF($D$11:$D$102,D26,$F$11:$F$102),G26)/H26,0)*H26))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IF(OR(D27="",G27="",H27=""),"",IF(COUNTIF($D$11:D27,D27)&gt;1,0,ROUNDUP(MAX(SUMIF($D$11:$D$102,D27,$F$11:$F$102),G27)/H27,0)*H27))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IF(OR(D28="",G28="",H28=""),"",IF(COUNTIF($D$11:D28,D28)&gt;1,0,ROUNDUP(MAX(SUMIF($D$11:$D$102,D28,$F$11:$F$102),G28)/H28,0)*H28))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IF(OR(D29="",G29="",H29=""),"",IF(COUNTIF($D$11:D29,D29)&gt;1,0,ROUNDUP(MAX(SUMIF($D$11:$D$102,D29,$F$11:$F$102),G29)/H29,0)*H29))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U14</x:v>
      </x:c>
      <x:c r="B30" s="22" t="str">
        <x:v>5 V codec logic buck-boost regulator</x:v>
      </x:c>
      <x:c r="C30" s="22" t="str">
        <x:v>Texas Instruments</x:v>
      </x:c>
      <x:c r="D30" s="22" t="str">
        <x:v>TPS63802DLAR</x:v>
      </x:c>
      <x:c r="E30" s="22" t="str">
        <x:v>C2845237</x:v>
      </x:c>
      <x:c r="F30" s="22" t="n">
        <x:v>1</x:v>
      </x:c>
      <x:c r="G30" s="1" t="n">
        <x:v>1</x:v>
      </x:c>
      <x:c r="H30" s="1" t="n">
        <x:v>1</x:v>
      </x:c>
      <x:c r="I30" s="1" t="n">
        <x:f>IF(OR(D30="",G30="",H30=""),"",IF(COUNTIF($D$11:D30,D30)&gt;1,0,ROUNDUP(MAX(SUMIF($D$11:$D$102,D30,$F$11:$F$102),G30)/H30,0)*H30))</x:f>
        <x:v>2</x:v>
      </x:c>
      <x:c r="J30" s="1" t="n">
        <x:v>1</x:v>
      </x:c>
      <x:c r="K30" s="28" t="n">
        <x:v>0.9773</x:v>
      </x:c>
      <x:c r="L30" s="31" t="n">
        <x:f>IF(K30="","",ROUND(F30*K30,4))</x:f>
        <x:v>0.9773</x:v>
      </x:c>
      <x:c r="M30" s="31" t="n">
        <x:f>IF(OR(K30="",I30="",N30=""),"",IF(N30&gt;=I30,ROUND(I30*K30,4),""))</x:f>
        <x:v>1.9546</x:v>
      </x:c>
      <x:c r="N30" s="7" t="n">
        <x:v>16705</x:v>
      </x:c>
      <x:c r="O30" s="1" t="str">
        <x:v>Listing snapshot</x:v>
      </x:c>
      <x:c r="P30" s="4" t="n">
        <x:v>46299</x:v>
      </x:c>
      <x:c r="Q30" s="1" t="str">
        <x:v>2026-10-04</x:v>
      </x:c>
      <x:c r="R30" s="1" t="str">
        <x:v>Same selected part and listing snapshot as U15; stock/price snapshot, not quote.</x:v>
      </x:c>
      <x:c r="S30" s="1" t="str">
        <x:v>https://www.lcsc.com/product-detail/C2845237.html</x:v>
      </x:c>
    </x:row>
    <x:row r="31" ht="36" customHeight="1">
      <x:c r="A31" s="25" t="str">
        <x:v>J4</x:v>
      </x:c>
      <x:c r="B31" s="25" t="str">
        <x:v>PD I2C service header</x:v>
      </x:c>
      <x:c r="C31" s="25"/>
      <x:c r="D31" s="25"/>
      <x:c r="E31" s="25"/>
      <x:c r="F31" s="25" t="n">
        <x:v>1</x:v>
      </x:c>
      <x:c r="G31"/>
      <x:c r="H31"/>
      <x:c r="I31" t="str">
        <x:f>IF(OR(D31="",G31="",H31=""),"",IF(COUNTIF($D$11:D31,D31)&gt;1,0,ROUNDUP(MAX(SUMIF($D$11:$D$102,D31,$F$11:$F$102),G31)/H31,0)*H31))</x:f>
      </x:c>
      <x:c r="J31"/>
      <x:c r="K31" s="26"/>
      <x:c r="L31" s="27" t="str">
        <x:f>IF(K31="","",ROUND(F31*K31,4))</x:f>
      </x:c>
      <x:c r="M31" s="27" t="str">
        <x:f>IF(OR(K31="",I31="",N31=""),"",IF(N31&gt;=I31,ROUND(I31*K31,4),""))</x:f>
      </x:c>
      <x:c r="N31" s="17"/>
      <x:c r="O31" t="str">
        <x:v>MPN open</x:v>
      </x:c>
      <x:c r="P31" s="16"/>
      <x:c r="Q31"/>
      <x:c r="R31"/>
      <x:c r="S31"/>
    </x:row>
    <x:row r="32" ht="36" customHeight="1">
      <x:c r="A32" s="25" t="str">
        <x:v>D7</x:v>
      </x:c>
      <x:c r="B32" s="25" t="str">
        <x:v>TPS25730D VBUS-to-GND Schottky</x:v>
      </x:c>
      <x:c r="C32" s="25" t="str">
        <x:v>Diodes Incorporated</x:v>
      </x:c>
      <x:c r="D32" s="25" t="str">
        <x:v>1N5819HW-7-F</x:v>
      </x:c>
      <x:c r="E32" s="25" t="str">
        <x:v>C82544</x:v>
      </x:c>
      <x:c r="F32" s="25" t="n">
        <x:v>1</x:v>
      </x:c>
      <x:c r="G32" t="n">
        <x:v>10</x:v>
      </x:c>
      <x:c r="H32" t="n">
        <x:v>10</x:v>
      </x:c>
      <x:c r="I32" t="n">
        <x:f>IF(OR(D32="",G32="",H32=""),"",IF(COUNTIF($D$11:D32,D32)&gt;1,0,ROUNDUP(MAX(SUMIF($D$11:$D$102,D32,$F$11:$F$102),G32)/H32,0)*H32))</x:f>
        <x:v>10</x:v>
      </x:c>
      <x:c r="J32" t="n">
        <x:v>10</x:v>
      </x:c>
      <x:c r="K32" s="26" t="n">
        <x:v>0.057</x:v>
      </x:c>
      <x:c r="L32" s="27" t="n">
        <x:f>IF(K32="","",ROUND(F32*K32,4))</x:f>
        <x:v>0.057</x:v>
      </x:c>
      <x:c r="M32" s="27" t="n">
        <x:f>IF(OR(K32="",I32="",N32=""),"",IF(N32&gt;=I32,ROUND(I32*K32,4),""))</x:f>
        <x:v>0.57</x:v>
      </x:c>
      <x:c r="N32" t="n">
        <x:v>137330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40V/1A SOD-123; leakage not bench-checked; alt B5819W SL C8598</x:v>
      </x:c>
      <x:c r="S32" t="str">
        <x:v>https://www.lcsc.com/product-detail/C82544.html</x:v>
      </x:c>
    </x:row>
    <x:row r="33" ht="36" customHeight="1">
      <x:c r="A33" s="25" t="str">
        <x:v>J5</x:v>
      </x:c>
      <x:c r="B33" s="25" t="str">
        <x:v>Three-contact protected pack connector</x:v>
      </x:c>
      <x:c r="C33" s="25" t="str">
        <x:v>Molex</x:v>
      </x:c>
      <x:c r="D33" s="25" t="str">
        <x:v>43650-0300</x:v>
      </x:c>
      <x:c r="E33" s="25" t="str">
        <x:v>C503478</x:v>
      </x:c>
      <x:c r="F33" s="25" t="n">
        <x:v>1</x:v>
      </x:c>
      <x:c r="G33" t="n">
        <x:v>1</x:v>
      </x:c>
      <x:c r="H33" t="n">
        <x:v>1</x:v>
      </x:c>
      <x:c r="I33" t="n">
        <x:f>IF(OR(D33="",G33="",H33=""),"",IF(COUNTIF($D$11:D33,D33)&gt;1,0,ROUNDUP(MAX(SUMIF($D$11:$D$102,D33,$F$11:$F$102),G33)/H33,0)*H33))</x:f>
        <x:v>1</x:v>
      </x:c>
      <x:c r="J33" t="n">
        <x:v>1</x:v>
      </x:c>
      <x:c r="K33" s="26" t="n">
        <x:v>0.5485</x:v>
      </x:c>
      <x:c r="L33" s="27" t="n">
        <x:f>IF(K33="","",ROUND(F33*K33,4))</x:f>
        <x:v>0.5485</x:v>
      </x:c>
      <x:c r="M33" s="27" t="n">
        <x:f>IF(OR(K33="",I33="",N33=""),"",IF(N33&gt;=I33,ROUND(I33*K33,4),""))</x:f>
        <x:v>0.5485</x:v>
      </x:c>
      <x:c r="N33" t="n">
        <x:v>9368</x:v>
      </x:c>
      <x:c r="O33" t="str">
        <x:v>Listing snapshot, unverified</x:v>
      </x:c>
      <x:c r="P33" s="16" t="n">
        <x:v>46300</x:v>
      </x:c>
      <x:c r="Q33" t="str">
        <x:v>2026-10-06</x:v>
      </x:c>
      <x:c r="R33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33" t="str">
        <x:v>https://www.lcsc.com/product-detail/C503478.html</x:v>
      </x:c>
    </x:row>
    <x:row r="34" ht="36" customHeight="1">
      <x:c r="A34" s="25" t="str">
        <x:v>SW100</x:v>
      </x:c>
      <x:c r="B34" s="25" t="str">
        <x:v>QON wake pushbutton</x:v>
      </x:c>
      <x:c r="C34" s="25" t="str">
        <x:v>TE Connectivity</x:v>
      </x:c>
      <x:c r="D34" s="25" t="str">
        <x:v>1977066-1</x:v>
      </x:c>
      <x:c r="E34" s="25" t="str">
        <x:v>C2972219</x:v>
      </x:c>
      <x:c r="F34" s="25" t="n">
        <x:v>1</x:v>
      </x:c>
      <x:c r="G34" t="n">
        <x:v>1</x:v>
      </x:c>
      <x:c r="H34" t="n">
        <x:v>1</x:v>
      </x:c>
      <x:c r="I34" t="n">
        <x:f>IF(OR(D34="",G34="",H34=""),"",IF(COUNTIF($D$11:D34,D34)&gt;1,0,ROUNDUP(MAX(SUMIF($D$11:$D$102,D34,$F$11:$F$102),G34)/H34,0)*H34))</x:f>
        <x:v>1</x:v>
      </x:c>
      <x:c r="J34" t="n">
        <x:v>1</x:v>
      </x:c>
      <x:c r="K34" s="26" t="n">
        <x:v>0.6291</x:v>
      </x:c>
      <x:c r="L34" s="27" t="n">
        <x:f>IF(K34="","",ROUND(F34*K34,4))</x:f>
        <x:v>0.6291</x:v>
      </x:c>
      <x:c r="M34" s="27" t="n">
        <x:f>IF(OR(K34="",I34="",N34=""),"",IF(N34&gt;=I34,ROUND(I34*K34,4),""))</x:f>
        <x:v>0.6291</x:v>
      </x:c>
      <x:c r="N34" t="n">
        <x:v>2009</x:v>
      </x:c>
      <x:c r="O34" t="str">
        <x:v>Listing snapshot, unverified</x:v>
      </x:c>
      <x:c r="P34" s="16" t="n">
        <x:v>46300</x:v>
      </x:c>
      <x:c r="Q34" t="str">
        <x:v>2026-10-06</x:v>
      </x:c>
      <x:c r="R34" t="str">
        <x:v>Selected 2026-10-06: right-angle SMT tact, 50 mA @12 V. LCSC number confirmed. Price/stock from LCSC page 2026-10-06, not a quote.</x:v>
      </x:c>
      <x:c r="S34" t="str">
        <x:v>https://www.lcsc.com/product-detail/C2972219.html</x:v>
      </x:c>
    </x:row>
    <x:row r="35" ht="36" customHeight="1">
      <x:c r="A35" s="25" t="str">
        <x:v>SW101</x:v>
      </x:c>
      <x:c r="B35" s="25" t="str">
        <x:v>Pack-positive disconnect switch</x:v>
      </x:c>
      <x:c r="C35" s="25" t="str">
        <x:v>SHOU HAN</x:v>
      </x:c>
      <x:c r="D35" s="25" t="str">
        <x:v>KCD1-201-R</x:v>
      </x:c>
      <x:c r="E35" s="25" t="str">
        <x:v>C5884429</x:v>
      </x:c>
      <x:c r="F35" s="25" t="n">
        <x:v>1</x:v>
      </x:c>
      <x:c r="G35" t="n">
        <x:v>1</x:v>
      </x:c>
      <x:c r="H35" t="n">
        <x:v>1</x:v>
      </x:c>
      <x:c r="I35" t="n">
        <x:f>IF(OR(D35="",G35="",H35=""),"",IF(COUNTIF($D$11:D35,D35)&gt;1,0,ROUNDUP(MAX(SUMIF($D$11:$D$102,D35,$F$11:$F$102),G35)/H35,0)*H35))</x:f>
        <x:v>1</x:v>
      </x:c>
      <x:c r="J35" t="n">
        <x:v>1</x:v>
      </x:c>
      <x:c r="K35" s="26" t="n">
        <x:v>0.338</x:v>
      </x:c>
      <x:c r="L35" s="27" t="n">
        <x:f>IF(K35="","",ROUND(F35*K35,4))</x:f>
        <x:v>0.338</x:v>
      </x:c>
      <x:c r="M35" s="27" t="str">
        <x:f>IF(OR(K35="",I35="",N35=""),"",IF(N35&gt;=I35,ROUND(I35*K35,4),""))</x:f>
      </x:c>
      <x:c r="N35" t="n">
        <x:v>0</x:v>
      </x:c>
      <x:c r="O35" t="str">
        <x:v>Listing snapshot, unverified</x:v>
      </x:c>
      <x:c r="P35" s="16" t="n">
        <x:v>46300</x:v>
      </x:c>
      <x:c r="Q35" t="str">
        <x:v>2026-10-06</x:v>
      </x:c>
      <x:c r="R35" t="str">
        <x:v>Selected 2026-10-06: 20 mm round SPST rocker, 10 A @12 VDC (datasheet), 6 A 250 VAC. LCSC stock 0 at 2026-10-06: availability and 3-terminal mapping UNVERIFIED; peak 15-20 A exceeds rating, see HANDOVER.</x:v>
      </x:c>
      <x:c r="S35" t="str">
        <x:v>https://www.lcsc.com/product-detail/C5884429.html</x:v>
      </x:c>
    </x:row>
    <x:row r="36" ht="36" customHeight="1">
      <x:c r="A36" s="25" t="str">
        <x:v>PACK</x:v>
      </x:c>
      <x:c r="B36" s="25" t="str">
        <x:v>Protected 1S Li-ion pack with 10k NTC; capacity/curve/lead open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IF(OR(D36="",G36="",H36=""),"",IF(COUNTIF($D$11:D36,D36)&gt;1,0,ROUNDUP(MAX(SUMIF($D$11:$D$102,D36,$F$11:$F$102),G36)/H36,0)*H36))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U15</x:v>
      </x:c>
      <x:c r="B37" s="25" t="str">
        <x:v>3.8V Bluetooth buck-boost</x:v>
      </x:c>
      <x:c r="C37" s="25" t="str">
        <x:v>TI</x:v>
      </x:c>
      <x:c r="D37" s="25" t="str">
        <x:v>TPS63802DLAR</x:v>
      </x:c>
      <x:c r="E37" s="25" t="str">
        <x:v>C2845237</x:v>
      </x:c>
      <x:c r="F37" s="25" t="n">
        <x:v>1</x:v>
      </x:c>
      <x:c r="G37" t="n">
        <x:v>1</x:v>
      </x:c>
      <x:c r="H37" t="n">
        <x:v>1</x:v>
      </x:c>
      <x:c r="I37" t="n">
        <x:f>IF(OR(D37="",G37="",H37=""),"",IF(COUNTIF($D$11:D37,D37)&gt;1,0,ROUNDUP(MAX(SUMIF($D$11:$D$102,D37,$F$11:$F$102),G37)/H37,0)*H37))</x:f>
        <x:v>0</x:v>
      </x:c>
      <x:c r="J37" t="n">
        <x:v>1</x:v>
      </x:c>
      <x:c r="K37" s="26" t="n">
        <x:v>0.9773</x:v>
      </x:c>
      <x:c r="L37" s="27" t="n">
        <x:f>IF(K37="","",ROUND(F37*K37,4))</x:f>
        <x:v>0.9773</x:v>
      </x:c>
      <x:c r="M37" s="27" t="str">
        <x:f>IF(OR(K37="",I37="",N37=""),"",IF(N37&gt;=I37,ROUND(I37*K37,4),""))</x:f>
      </x:c>
      <x:c r="N37" t="n">
        <x:v>16705</x:v>
      </x:c>
      <x:c r="O37" t="str">
        <x:v>Listing snapshot</x:v>
      </x:c>
      <x:c r="P37" s="16" t="n">
        <x:v>46299</x:v>
      </x:c>
      <x:c r="Q37" t="str">
        <x:v>2026-10-04</x:v>
      </x:c>
      <x:c r="R37"/>
      <x:c r="S37" t="str">
        <x:v>https://www.lcsc.com/product-detail/C2845237.html</x:v>
      </x:c>
    </x:row>
    <x:row r="38" ht="36" customHeight="1">
      <x:c r="A38" s="25" t="str">
        <x:v>L2</x:v>
      </x:c>
      <x:c r="B38" s="25" t="str">
        <x:v>0.47uH codec buck-boost inductor</x:v>
      </x:c>
      <x:c r="C38" s="25" t="str">
        <x:v>Coilcraft</x:v>
      </x:c>
      <x:c r="D38" s="25" t="str">
        <x:v>XFL4015-471MEC</x:v>
      </x:c>
      <x:c r="E38" s="25" t="str">
        <x:v>C18221164</x:v>
      </x:c>
      <x:c r="F38" s="25" t="n">
        <x:v>1</x:v>
      </x:c>
      <x:c r="G38" t="n">
        <x:v>1</x:v>
      </x:c>
      <x:c r="H38" t="n">
        <x:v>1</x:v>
      </x:c>
      <x:c r="I38" t="n">
        <x:f>IF(OR(D38="",G38="",H38=""),"",IF(COUNTIF($D$11:D38,D38)&gt;1,0,ROUNDUP(MAX(SUMIF($D$11:$D$102,D38,$F$11:$F$102),G38)/H38,0)*H38))</x:f>
        <x:v>2</x:v>
      </x:c>
      <x:c r="J38" t="n">
        <x:v>1</x:v>
      </x:c>
      <x:c r="K38" s="26" t="n">
        <x:v>4.2515</x:v>
      </x:c>
      <x:c r="L38" s="27" t="n">
        <x:f>IF(K38="","",ROUND(F38*K38,4))</x:f>
        <x:v>4.2515</x:v>
      </x:c>
      <x:c r="M38" s="27" t="n">
        <x:f>IF(OR(K38="",I38="",N38=""),"",IF(N38&gt;=I38,ROUND(I38*K38,4),""))</x:f>
        <x:v>8.503</x:v>
      </x:c>
      <x:c r="N38" t="n">
        <x:v>2773</x:v>
      </x:c>
      <x:c r="O38" t="str">
        <x:v>Listing snapshot</x:v>
      </x:c>
      <x:c r="P38" s="16" t="n">
        <x:v>46299</x:v>
      </x:c>
      <x:c r="Q38" t="str">
        <x:v>2026-10-04</x:v>
      </x:c>
      <x:c r="R38" t="str">
        <x:v>Same MPN as L3; listing stock and tier are shared.</x:v>
      </x:c>
      <x:c r="S38" t="str">
        <x:v>https://www.lcsc.com/product-detail/C18221164.html</x:v>
      </x:c>
    </x:row>
    <x:row r="39" ht="36" customHeight="1">
      <x:c r="A39" s="25" t="str">
        <x:v>L3</x:v>
      </x:c>
      <x:c r="B39" s="25" t="str">
        <x:v>Bluetooth buck-boost 0.47uH inductor</x:v>
      </x:c>
      <x:c r="C39" s="25" t="str">
        <x:v>Coilcraft</x:v>
      </x:c>
      <x:c r="D39" s="25" t="str">
        <x:v>XFL4015-471MEC</x:v>
      </x:c>
      <x:c r="E39" s="25" t="str">
        <x:v>C18221164</x:v>
      </x:c>
      <x:c r="F39" s="25" t="n">
        <x:v>1</x:v>
      </x:c>
      <x:c r="G39" t="n">
        <x:v>1</x:v>
      </x:c>
      <x:c r="H39" t="n">
        <x:v>1</x:v>
      </x:c>
      <x:c r="I39" t="n">
        <x:f>IF(OR(D39="",G39="",H39=""),"",IF(COUNTIF($D$11:D39,D39)&gt;1,0,ROUNDUP(MAX(SUMIF($D$11:$D$102,D39,$F$11:$F$102),G39)/H39,0)*H39))</x:f>
        <x:v>0</x:v>
      </x:c>
      <x:c r="J39" t="n">
        <x:v>1</x:v>
      </x:c>
      <x:c r="K39" s="26" t="n">
        <x:v>4.2515</x:v>
      </x:c>
      <x:c r="L39" s="27" t="n">
        <x:f>IF(K39="","",ROUND(F39*K39,4))</x:f>
        <x:v>4.2515</x:v>
      </x:c>
      <x:c r="M39" s="27" t="str">
        <x:f>IF(OR(K39="",I39="",N39=""),"",IF(N39&gt;=I39,ROUND(I39*K39,4),""))</x:f>
      </x:c>
      <x:c r="N39" t="n">
        <x:v>2773</x:v>
      </x:c>
      <x:c r="O39" t="str">
        <x:v>Listing snapshot</x:v>
      </x:c>
      <x:c r="P39" s="16" t="n">
        <x:v>46299</x:v>
      </x:c>
      <x:c r="Q39" t="str">
        <x:v>2026-10-04</x:v>
      </x:c>
      <x:c r="R39"/>
      <x:c r="S39" t="str">
        <x:v>https://www.lcsc.com/product-detail/C18221164.html</x:v>
      </x:c>
    </x:row>
    <x:row r="40" ht="36" customHeight="1">
      <x:c r="A40" s="25" t="str">
        <x:v>U19</x:v>
      </x:c>
      <x:c r="B40" s="25" t="str">
        <x:v>USB auxiliary 5V / PD controller VDD LDO</x:v>
      </x:c>
      <x:c r="C40" s="25" t="str">
        <x:v>Texas Instruments</x:v>
      </x:c>
      <x:c r="D40" s="25" t="str">
        <x:v>TPS7B8450QWDRBRQ1</x:v>
      </x:c>
      <x:c r="E40" s="25" t="str">
        <x:v>C3751394</x:v>
      </x:c>
      <x:c r="F40" s="25" t="n">
        <x:v>1</x:v>
      </x:c>
      <x:c r="G40" t="n">
        <x:v>1</x:v>
      </x:c>
      <x:c r="H40" t="n">
        <x:v>1</x:v>
      </x:c>
      <x:c r="I40" t="n">
        <x:f>IF(OR(D40="",G40="",H40=""),"",IF(COUNTIF($D$11:D40,D40)&gt;1,0,ROUNDUP(MAX(SUMIF($D$11:$D$102,D40,$F$11:$F$102),G40)/H40,0)*H40))</x:f>
        <x:v>1</x:v>
      </x:c>
      <x:c r="J40" t="n">
        <x:v>1</x:v>
      </x:c>
      <x:c r="K40" s="26" t="n">
        <x:v>1.3452</x:v>
      </x:c>
      <x:c r="L40" s="27" t="n">
        <x:f>IF(K40="","",ROUND(F40*K40,4))</x:f>
        <x:v>1.3452</x:v>
      </x:c>
      <x:c r="M40" s="27" t="n">
        <x:f>IF(OR(K40="",I40="",N40=""),"",IF(N40&gt;=I40,ROUND(I40*K40,4),""))</x:f>
        <x:v>1.3452</x:v>
      </x:c>
      <x:c r="N40" t="n">
        <x:v>1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40" t="str">
        <x:v>https://www.lcsc.com/product-detail/C3751394.html</x:v>
      </x:c>
    </x:row>
    <x:row r="41" ht="36" customHeight="1">
      <x:c r="A41" s="25" t="str">
        <x:v>U20</x:v>
      </x:c>
      <x:c r="B41" s="25" t="str">
        <x:v>USB and system logic priority mux</x:v>
      </x:c>
      <x:c r="C41" s="25" t="str">
        <x:v>Texas Instruments</x:v>
      </x:c>
      <x:c r="D41" s="25" t="str">
        <x:v>TPS2116DRLR</x:v>
      </x:c>
      <x:c r="E41" s="25" t="str">
        <x:v>C3235557</x:v>
      </x:c>
      <x:c r="F41" s="25" t="n">
        <x:v>1</x:v>
      </x:c>
      <x:c r="G41"/>
      <x:c r="H41"/>
      <x:c r="I41" t="str">
        <x:f>IF(OR(D41="",G41="",H41=""),"",IF(COUNTIF($D$11:D41,D41)&gt;1,0,ROUNDUP(MAX(SUMIF($D$11:$D$102,D41,$F$11:$F$102),G41)/H41,0)*H41))</x:f>
      </x:c>
      <x:c r="J41"/>
      <x:c r="K41" s="26"/>
      <x:c r="L41" s="27" t="str">
        <x:f>IF(K41="","",ROUND(F41*K41,4))</x:f>
      </x:c>
      <x:c r="M41" s="27" t="str">
        <x:f>IF(OR(K41="",I41="",N41=""),"",IF(N41&gt;=I41,ROUND(I41*K41,4),""))</x:f>
      </x:c>
      <x:c r="N41"/>
      <x:c r="O41" t="str">
        <x:v>Stock/price unverified</x:v>
      </x:c>
      <x:c r="P41" s="16"/>
      <x:c r="Q41"/>
      <x:c r="R41" t="str">
        <x:v>Selected MPN/LCSC mapping; current stock and price not verified.</x:v>
      </x:c>
      <x:c r="S41" t="str">
        <x:v>https://www.lcsc.com/product-detail/C3235557.html</x:v>
      </x:c>
    </x:row>
    <x:row r="42" ht="36" customHeight="1">
      <x:c r="A42" s="25" t="str">
        <x:v>U21</x:v>
      </x:c>
      <x:c r="B42" s="25" t="str">
        <x:v>Gauge undervoltage supervisor</x:v>
      </x:c>
      <x:c r="C42" s="25" t="str">
        <x:v>Texas Instruments</x:v>
      </x:c>
      <x:c r="D42" s="25" t="str">
        <x:v>TPS3839G33DBZR</x:v>
      </x:c>
      <x:c r="E42" s="25" t="str">
        <x:v>C485802</x:v>
      </x:c>
      <x:c r="F42" s="25" t="n">
        <x:v>1</x:v>
      </x:c>
      <x:c r="G42" t="n">
        <x:v>1</x:v>
      </x:c>
      <x:c r="H42" t="n">
        <x:v>1</x:v>
      </x:c>
      <x:c r="I42" t="n">
        <x:f>IF(OR(D42="",G42="",H42=""),"",IF(COUNTIF($D$11:D42,D42)&gt;1,0,ROUNDUP(MAX(SUMIF($D$11:$D$102,D42,$F$11:$F$102),G42)/H42,0)*H42))</x:f>
        <x:v>1</x:v>
      </x:c>
      <x:c r="J42" t="n">
        <x:v>1</x:v>
      </x:c>
      <x:c r="K42" s="26" t="n">
        <x:v>0.439</x:v>
      </x:c>
      <x:c r="L42" s="27" t="n">
        <x:f>IF(K42="","",ROUND(F42*K42,4))</x:f>
        <x:v>0.439</x:v>
      </x:c>
      <x:c r="M42" s="27" t="n">
        <x:f>IF(OR(K42="",I42="",N42=""),"",IF(N42&gt;=I42,ROUND(I42*K42,4),""))</x:f>
        <x:v>0.439</x:v>
      </x:c>
      <x:c r="N42" t="n">
        <x:v>3444</x:v>
      </x:c>
      <x:c r="O42" t="str">
        <x:v>Listing snapshot</x:v>
      </x:c>
      <x:c r="P42" s="16" t="n">
        <x:v>46300</x:v>
      </x:c>
      <x:c r="Q42" t="str">
        <x:v>2026-10-05</x:v>
      </x:c>
      <x:c r="R42"/>
      <x:c r="S42" t="str">
        <x:v>https://www.lcsc.com/product-detail/C485802.html</x:v>
      </x:c>
    </x:row>
    <x:row r="43" ht="36" customHeight="1">
      <x:c r="A43" s="25" t="str">
        <x:v>J6</x:v>
      </x:c>
      <x:c r="B43" s="25" t="str">
        <x:v>MCU SWD header 1x4 2.54 mm (J7 Tag-Connect TC2030 is PCB pads only, no BOM part)</x:v>
      </x:c>
      <x:c r="C43" s="25" t="str">
        <x:v>Ckmtw</x:v>
      </x:c>
      <x:c r="D43" s="25" t="str">
        <x:v>B-2100S04P-A110</x:v>
      </x:c>
      <x:c r="E43" s="25" t="str">
        <x:v>C124378</x:v>
      </x:c>
      <x:c r="F43" s="25" t="n">
        <x:v>1</x:v>
      </x:c>
      <x:c r="G43" t="n">
        <x:v>10</x:v>
      </x:c>
      <x:c r="H43" t="n">
        <x:v>10</x:v>
      </x:c>
      <x:c r="I43" t="n">
        <x:f>IF(OR(D43="",G43="",H43=""),"",IF(COUNTIF($D$11:D43,D43)&gt;1,0,ROUNDUP(MAX(SUMIF($D$11:$D$102,D43,$F$11:$F$102),G43)/H43,0)*H43))</x:f>
        <x:v>10</x:v>
      </x:c>
      <x:c r="J43" t="n">
        <x:v>10</x:v>
      </x:c>
      <x:c r="K43" s="26"/>
      <x:c r="L43" s="27" t="str">
        <x:f>IF(K43="","",ROUND(F43*K43,4))</x:f>
      </x:c>
      <x:c r="M43" s="27" t="str">
        <x:f>IF(OR(K43="",I43="",N43=""),"",IF(N43&gt;=I43,ROUND(I43*K43,4),""))</x:f>
      </x:c>
      <x:c r="N43"/>
      <x:c r="O43" t="str">
        <x:v>LCSC number from search; price/stock unverified</x:v>
      </x:c>
      <x:c r="P43" s="16" t="n">
        <x:v>46300</x:v>
      </x:c>
      <x:c r="Q43" t="str">
        <x:v>2026-10-06</x:v>
      </x:c>
      <x:c r="R43" t="str">
        <x:v>1x4 straight THT header; footprint PinHeader_1x04_P2.54mm_Vertical (stock KiCad STEP). Pin order 1 SWDIO 2 SWCLK 3 NRST 4 GND. Programmer cable TC2030-IDC (legged footprint J7) is a tool, not fitted.</x:v>
      </x:c>
      <x:c r="S43" t="str">
        <x:v>https://www.lcsc.com/product-detail/C124378.html</x:v>
      </x:c>
    </x:row>
    <x:row r="44" ht="36" customHeight="1">
      <x:c r="A44" s="25" t="str">
        <x:v>Y170</x:v>
      </x:c>
      <x:c r="B44" s="25" t="str">
        <x:v>12 MHz crystal for PCM2902C (3225-4P, CL 20 pF, +/-10 ppm)</x:v>
      </x:c>
      <x:c r="C44" s="25" t="str">
        <x:v>YXC</x:v>
      </x:c>
      <x:c r="D44" s="25" t="str">
        <x:v>X322512MSB4SI</x:v>
      </x:c>
      <x:c r="E44" s="25" t="str">
        <x:v>C9002</x:v>
      </x:c>
      <x:c r="F44" s="25" t="n">
        <x:v>1</x:v>
      </x:c>
      <x:c r="G44" t="n">
        <x:v>10</x:v>
      </x:c>
      <x:c r="H44" t="n">
        <x:v>10</x:v>
      </x:c>
      <x:c r="I44" t="n">
        <x:f>IF(OR(D44="",G44="",H44=""),"",IF(COUNTIF($D$11:D44,D44)&gt;1,0,ROUNDUP(MAX(SUMIF($D$11:$D$102,D44,$F$11:$F$102),G44)/H44,0)*H44))</x:f>
        <x:v>10</x:v>
      </x:c>
      <x:c r="J44" t="n">
        <x:v>10</x:v>
      </x:c>
      <x:c r="K44" s="26" t="n">
        <x:v>0.0371</x:v>
      </x:c>
      <x:c r="L44" s="27" t="n">
        <x:f>IF(K44="","",ROUND(F44*K44,4))</x:f>
        <x:v>0.0371</x:v>
      </x:c>
      <x:c r="M44" s="27" t="n">
        <x:f>IF(OR(K44="",I44="",N44=""),"",IF(N44&gt;=I44,ROUND(I44*K44,4),""))</x:f>
        <x:v>0.371</x:v>
      </x:c>
      <x:c r="N44" t="n">
        <x:v>312110</x:v>
      </x:c>
      <x:c r="O44" t="str">
        <x:v>Listing snapshot, 2026-10-06</x:v>
      </x:c>
      <x:c r="P44" s="16" t="n">
        <x:v>46300</x:v>
      </x:c>
      <x:c r="Q44" t="str">
        <x:v>2026-10-06</x:v>
      </x:c>
      <x:c r="R44" t="str">
        <x:v>Search-result snapshot; datasheet not retrieved. Pads 1/3 crystal, 2/4 GND assumed (generic 3225-4P) - verify. 33 pF load caps (C177/C178) give ~19.5 pF effective CL incl. stray, vs 20 pF rating.</x:v>
      </x:c>
      <x:c r="S44" t="str">
        <x:v>https://www.lcsc.com/product-detail/C9002.html</x:v>
      </x:c>
    </x:row>
    <x:row r="45" ht="36" customHeight="1">
      <x:c r="A45" s="25" t="str">
        <x:v>J8</x:v>
      </x:c>
      <x:c r="B45" s="25" t="str">
        <x:v>BM83 test/programming header 1x5 2.54 mm (RST_N, P3_4, UART RX/TX, GND)</x:v>
      </x:c>
      <x:c r="C45" s="25" t="str">
        <x:v>XYECONN</x:v>
      </x:c>
      <x:c r="D45" s="25" t="str">
        <x:v>XY-MTP254-1X5</x:v>
      </x:c>
      <x:c r="E45" s="25" t="str">
        <x:v>C54110162</x:v>
      </x:c>
      <x:c r="F45" s="25" t="n">
        <x:v>1</x:v>
      </x:c>
      <x:c r="G45" t="n">
        <x:v>10</x:v>
      </x:c>
      <x:c r="H45" t="n">
        <x:v>10</x:v>
      </x:c>
      <x:c r="I45" t="n">
        <x:f>IF(OR(D45="",G45="",H45=""),"",IF(COUNTIF($D$11:D45,D45)&gt;1,0,ROUNDUP(MAX(SUMIF($D$11:$D$102,D45,$F$11:$F$102),G45)/H45,0)*H45))</x:f>
        <x:v>10</x:v>
      </x:c>
      <x:c r="J45" t="n">
        <x:v>10</x:v>
      </x:c>
      <x:c r="K45" s="26"/>
      <x:c r="L45" s="27" t="str">
        <x:f>IF(K45="","",ROUND(F45*K45,4))</x:f>
      </x:c>
      <x:c r="M45" s="27" t="str">
        <x:f>IF(OR(K45="",I45="",N45=""),"",IF(N45&gt;=I45,ROUND(I45*K45,4),""))</x:f>
      </x:c>
      <x:c r="N45"/>
      <x:c r="O45" t="str">
        <x:v>Stock/price unverified</x:v>
      </x:c>
      <x:c r="P45" s="16" t="n">
        <x:v>46300</x:v>
      </x:c>
      <x:c r="Q45" t="str">
        <x:v>2026-10-06</x:v>
      </x:c>
      <x:c r="R45" t="str">
        <x:v>Bluetooth sheet; part number carried from the earlier 1x5 SWD header selection, not re-verified.</x:v>
      </x:c>
      <x:c r="S45" t="str">
        <x:v>https://www.lcsc.com/product-detail/C54110162.html</x:v>
      </x:c>
    </x:row>
    <x:row r="46" ht="36" customHeight="1">
      <x:c r="A46" s="25" t="str">
        <x:v>U24</x:v>
      </x:c>
      <x:c r="B46" s="25" t="str">
        <x:v>Audio ADC 4:1 input, I2S master (TSSOP-30)</x:v>
      </x:c>
      <x:c r="C46" s="25" t="str">
        <x:v>TI</x:v>
      </x:c>
      <x:c r="D46" s="25" t="str">
        <x:v>PCM1862DBTR</x:v>
      </x:c>
      <x:c r="E46" s="25" t="str">
        <x:v>C544647</x:v>
      </x:c>
      <x:c r="F46" s="25" t="n">
        <x:v>1</x:v>
      </x:c>
      <x:c r="G46" t="n">
        <x:v>1</x:v>
      </x:c>
      <x:c r="H46" t="n">
        <x:v>1</x:v>
      </x:c>
      <x:c r="I46" t="n">
        <x:f>IF(OR(D46="",G46="",H46=""),"",IF(COUNTIF($D$11:D46,D46)&gt;1,0,ROUNDUP(MAX(SUMIF($D$11:$D$102,D46,$F$11:$F$102),G46)/H46,0)*H46))</x:f>
        <x:v>1</x:v>
      </x:c>
      <x:c r="J46" t="n">
        <x:v>1</x:v>
      </x:c>
      <x:c r="K46" s="26"/>
      <x:c r="L46" s="27" t="str">
        <x:f>IF(K46="","",ROUND(F46*K46,4))</x:f>
      </x:c>
      <x:c r="M46" s="27" t="str">
        <x:f>IF(OR(K46="",I46="",N46=""),"",IF(N46&gt;=I46,ROUND(I46*K46,4),""))</x:f>
      </x:c>
      <x:c r="N46"/>
      <x:c r="O46" t="str">
        <x:v>LCSC number from search 2026-10-06; price/stock unverified</x:v>
      </x:c>
      <x:c r="P46" s="16" t="n">
        <x:v>46300</x:v>
      </x:c>
      <x:c r="Q46" t="str">
        <x:v>2026-10-06</x:v>
      </x:c>
      <x:c r="R46" t="str">
        <x:v>Source_Select_ADC sheet, 2026-10-06. Datasheet SLAS831D.</x:v>
      </x:c>
      <x:c r="S46" t="str">
        <x:v>https://www.lcsc.com/product-detail/C544647.html</x:v>
      </x:c>
    </x:row>
    <x:row r="47" ht="36" customHeight="1">
      <x:c r="A47" s="25" t="str">
        <x:v>U22</x:v>
      </x:c>
      <x:c r="B47" s="25" t="str">
        <x:v>3V3_AUDIO 300 mA ultra-low-noise LDO</x:v>
      </x:c>
      <x:c r="C47" s="25" t="str">
        <x:v>TI</x:v>
      </x:c>
      <x:c r="D47" s="25" t="str">
        <x:v>TPS7A2033PDBVR</x:v>
      </x:c>
      <x:c r="E47" s="25" t="str">
        <x:v>C2862740</x:v>
      </x:c>
      <x:c r="F47" s="25" t="n">
        <x:v>1</x:v>
      </x:c>
      <x:c r="G47" t="n">
        <x:v>1</x:v>
      </x:c>
      <x:c r="H47" t="n">
        <x:v>1</x:v>
      </x:c>
      <x:c r="I47" t="n">
        <x:f>IF(OR(D47="",G47="",H47=""),"",IF(COUNTIF($D$11:D47,D47)&gt;1,0,ROUNDUP(MAX(SUMIF($D$11:$D$102,D47,$F$11:$F$102),G47)/H47,0)*H47))</x:f>
        <x:v>1</x:v>
      </x:c>
      <x:c r="J47" t="n">
        <x:v>1</x:v>
      </x:c>
      <x:c r="K47" s="26"/>
      <x:c r="L47" s="27" t="str">
        <x:f>IF(K47="","",ROUND(F47*K47,4))</x:f>
      </x:c>
      <x:c r="M47" s="27" t="str">
        <x:f>IF(OR(K47="",I47="",N47=""),"",IF(N47&gt;=I47,ROUND(I47*K47,4),""))</x:f>
      </x:c>
      <x:c r="N47"/>
      <x:c r="O47" t="str">
        <x:v>LCSC number from search 2026-10-06; price/stock unverified</x:v>
      </x:c>
      <x:c r="P47" s="16" t="n">
        <x:v>46300</x:v>
      </x:c>
      <x:c r="Q47" t="str">
        <x:v>2026-10-06</x:v>
      </x:c>
      <x:c r="R47" t="str">
        <x:v>Source_Select_ADC sheet, 2026-10-06. A TECH PUBLIC TPS7A2033PDBVR-TP clone is listed as C49452001; TI part chosen.</x:v>
      </x:c>
      <x:c r="S47" t="str">
        <x:v>https://www.lcsc.com/product-detail/C2862740.html</x:v>
      </x:c>
    </x:row>
    <x:row r="48" ht="36" customHeight="1">
      <x:c r="A48" s="25" t="str">
        <x:v>U23</x:v>
      </x:c>
      <x:c r="B48" s="25" t="str">
        <x:v>5V_CODEC load switch (SOT-23-6)</x:v>
      </x:c>
      <x:c r="C48" s="25" t="str">
        <x:v>TI</x:v>
      </x:c>
      <x:c r="D48" s="25" t="str">
        <x:v>TPS22917DBVR</x:v>
      </x:c>
      <x:c r="E48" s="25" t="str">
        <x:v>C2681320</x:v>
      </x:c>
      <x:c r="F48" s="25" t="n">
        <x:v>1</x:v>
      </x:c>
      <x:c r="G48" t="n">
        <x:v>1</x:v>
      </x:c>
      <x:c r="H48" t="n">
        <x:v>1</x:v>
      </x:c>
      <x:c r="I48" t="n">
        <x:f>IF(OR(D48="",G48="",H48=""),"",IF(COUNTIF($D$11:D48,D48)&gt;1,0,ROUNDUP(MAX(SUMIF($D$11:$D$102,D48,$F$11:$F$102),G48)/H48,0)*H48))</x:f>
        <x:v>1</x:v>
      </x:c>
      <x:c r="J48" t="n">
        <x:v>1</x:v>
      </x:c>
      <x:c r="K48" s="26"/>
      <x:c r="L48" s="27" t="str">
        <x:f>IF(K48="","",ROUND(F48*K48,4))</x:f>
      </x:c>
      <x:c r="M48" s="27" t="str">
        <x:f>IF(OR(K48="",I48="",N48=""),"",IF(N48&gt;=I48,ROUND(I48*K48,4),""))</x:f>
      </x:c>
      <x:c r="N48"/>
      <x:c r="O48" t="str">
        <x:v>LCSC number from search 2026-10-06; price/stock unverified</x:v>
      </x:c>
      <x:c r="P48" s="16" t="n">
        <x:v>46300</x:v>
      </x:c>
      <x:c r="Q48" t="str">
        <x:v>2026-10-06</x:v>
      </x:c>
      <x:c r="R48" t="str">
        <x:v>Source_Select_ADC sheet, 2026-10-06. Pinout checked against SLVSDW8B.</x:v>
      </x:c>
      <x:c r="S48" t="str">
        <x:v>https://www.lcsc.com/product-detail/C2681320.html</x:v>
      </x:c>
    </x:row>
    <x:row r="49" ht="36" customHeight="1">
      <x:c r="A49" s="25" t="str">
        <x:v>Y200</x:v>
      </x:c>
      <x:c r="B49" s="25" t="str">
        <x:v>24.576 MHz crystal for PCM1862 (3225-4P, CL 15 pF)</x:v>
      </x:c>
      <x:c r="C49" s="25" t="str">
        <x:v>Lucki</x:v>
      </x:c>
      <x:c r="D49" s="25" t="str">
        <x:v>L327S240P11L</x:v>
      </x:c>
      <x:c r="E49" s="25" t="str">
        <x:v>C5261154</x:v>
      </x:c>
      <x:c r="F49" s="25" t="n">
        <x:v>1</x:v>
      </x:c>
      <x:c r="G49" t="n">
        <x:v>1</x:v>
      </x:c>
      <x:c r="H49" t="n">
        <x:v>1</x:v>
      </x:c>
      <x:c r="I49" t="n">
        <x:f>IF(OR(D49="",G49="",H49=""),"",IF(COUNTIF($D$11:D49,D49)&gt;1,0,ROUNDUP(MAX(SUMIF($D$11:$D$102,D49,$F$11:$F$102),G49)/H49,0)*H49))</x:f>
        <x:v>1</x:v>
      </x:c>
      <x:c r="J49" t="n">
        <x:v>1</x:v>
      </x:c>
      <x:c r="K49" s="26"/>
      <x:c r="L49" s="27" t="str">
        <x:f>IF(K49="","",ROUND(F49*K49,4))</x:f>
      </x:c>
      <x:c r="M49" s="27" t="str">
        <x:f>IF(OR(K49="",I49="",N49=""),"",IF(N49&gt;=I49,ROUND(I49*K49,4),""))</x:f>
      </x:c>
      <x:c r="N49"/>
      <x:c r="O49" t="str">
        <x:v>LCSC number from search 2026-10-06; price/stock unverified</x:v>
      </x:c>
      <x:c r="P49" s="16" t="n">
        <x:v>46300</x:v>
      </x:c>
      <x:c r="Q49" t="str">
        <x:v>2026-10-06</x:v>
      </x:c>
      <x:c r="R49" t="str">
        <x:v>Source_Select_ADC sheet, 2026-10-06. Datasheet not retrieved; pad usage 1/3 assumed. Two 20 pF caps give about 13 pF CL; trim at bring-up.</x:v>
      </x:c>
      <x:c r="S49" t="str">
        <x:v>https://www.lcsc.com/product-detail/C5261154.html</x:v>
      </x:c>
    </x:row>
    <x:row r="50" ht="36" customHeight="1">
      <x:c r="A50" s="25" t="str">
        <x:v>D200, D201</x:v>
      </x:c>
      <x:c r="B50" s="25" t="str">
        <x:v>Headphone jack / AUX_IN jack ESD, 2-line bidirectional 5 V (SOT-23)</x:v>
      </x:c>
      <x:c r="C50" s="25" t="str">
        <x:v>DOWO (Nexperia PESD5V0S2BT equivalent)</x:v>
      </x:c>
      <x:c r="D50" s="25" t="str">
        <x:v>PESD5V0S2BT</x:v>
      </x:c>
      <x:c r="E50" s="25" t="str">
        <x:v>C5380400</x:v>
      </x:c>
      <x:c r="F50" s="25" t="n">
        <x:v>2</x:v>
      </x:c>
      <x:c r="G50" t="n">
        <x:v>5</x:v>
      </x:c>
      <x:c r="H50" t="n">
        <x:v>5</x:v>
      </x:c>
      <x:c r="I50" t="n">
        <x:f>IF(OR(D50="",G50="",H50=""),"",IF(COUNTIF($D$11:D50,D50)&gt;1,0,ROUNDUP(MAX(SUMIF($D$11:$D$102,D50,$F$11:$F$102),G50)/H50,0)*H50))</x:f>
        <x:v>5</x:v>
      </x:c>
      <x:c r="J50" t="n">
        <x:v>5</x:v>
      </x:c>
      <x:c r="K50" s="26"/>
      <x:c r="L50" s="27" t="str">
        <x:f>IF(K50="","",ROUND(F50*K50,4))</x:f>
      </x:c>
      <x:c r="M50" s="27" t="str">
        <x:f>IF(OR(K50="",I50="",N50=""),"",IF(N50&gt;=I50,ROUND(I50*K50,4),""))</x:f>
      </x:c>
      <x:c r="N50"/>
      <x:c r="O50" t="str">
        <x:v>LCSC number from search 2026-10-06; price/stock unverified</x:v>
      </x:c>
      <x:c r="P50" s="16" t="n">
        <x:v>46300</x:v>
      </x:c>
      <x:c r="Q50" t="str">
        <x:v>2026-10-06</x:v>
      </x:c>
      <x:c r="R50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50" t="str">
        <x:v>https://www.lcsc.com/product-detail/C5380400.html</x:v>
      </x:c>
    </x:row>
    <x:row r="51" ht="36" customHeight="1">
      <x:c r="A51" s="25" t="str">
        <x:v>U25</x:v>
      </x:c>
      <x:c r="B51" s="25" t="str">
        <x:v>PVDD boost converter 11.9 V (VQFN-20)</x:v>
      </x:c>
      <x:c r="C51" s="25" t="str">
        <x:v>TI</x:v>
      </x:c>
      <x:c r="D51" s="25" t="str">
        <x:v>TPS61088RHLR</x:v>
      </x:c>
      <x:c r="E51" s="25" t="str">
        <x:v>C87357</x:v>
      </x:c>
      <x:c r="F51" s="25" t="n">
        <x:v>1</x:v>
      </x:c>
      <x:c r="G51" t="n">
        <x:v>1</x:v>
      </x:c>
      <x:c r="H51" t="n">
        <x:v>1</x:v>
      </x:c>
      <x:c r="I51" t="n">
        <x:f>IF(OR(D51="",G51="",H51=""),"",IF(COUNTIF($D$11:D51,D51)&gt;1,0,ROUNDUP(MAX(SUMIF($D$11:$D$102,D51,$F$11:$F$102),G51)/H51,0)*H51))</x:f>
        <x:v>1</x:v>
      </x:c>
      <x:c r="J51" t="n">
        <x:v>1</x:v>
      </x:c>
      <x:c r="K51" s="26" t="n">
        <x:v>4.9</x:v>
      </x:c>
      <x:c r="L51" s="27" t="n">
        <x:f>IF(K51="","",ROUND(F51*K51,4))</x:f>
        <x:v>4.9</x:v>
      </x:c>
      <x:c r="M51" s="27" t="n">
        <x:f>IF(OR(K51="",I51="",N51=""),"",IF(N51&gt;=I51,ROUND(I51*K51,4),""))</x:f>
        <x:v>4.9</x:v>
      </x:c>
      <x:c r="N51" t="n">
        <x:v>1199</x:v>
      </x:c>
      <x:c r="O51" t="str">
        <x:v>EasyEDA/LCSC API 2026-10-06; verify at order</x:v>
      </x:c>
      <x:c r="P51" s="16" t="n">
        <x:v>46300</x:v>
      </x:c>
      <x:c r="Q51" t="str">
        <x:v>2026-10-06</x:v>
      </x:c>
      <x:c r="R51" t="str">
        <x:v>Amplifiers sheet, 2026-10-06. 499k/56k feedback, 301k RFREQ, 150k ILIM. Pad map and 3D from the EasyEDA official package; verify against TI RHL0020A before PCB.</x:v>
      </x:c>
      <x:c r="S51" t="str">
        <x:v>https://www.lcsc.com/product-detail/C87357.html</x:v>
      </x:c>
    </x:row>
    <x:row r="52" ht="36" customHeight="1">
      <x:c r="A52" s="25" t="str">
        <x:v>L200</x:v>
      </x:c>
      <x:c r="B52" s="25" t="str">
        <x:v>Boost inductor 2.2uH, Isat 19.6 A, Irms 17.8 A, 6.3 mohm</x:v>
      </x:c>
      <x:c r="C52" s="25" t="str">
        <x:v>Coilcraft</x:v>
      </x:c>
      <x:c r="D52" s="25" t="str">
        <x:v>XAL7070-222MEC</x:v>
      </x:c>
      <x:c r="E52" s="25"/>
      <x:c r="F52" s="25" t="n">
        <x:v>1</x:v>
      </x:c>
      <x:c r="G52"/>
      <x:c r="H52"/>
      <x:c r="I52" t="str">
        <x:f>IF(OR(D52="",G52="",H52=""),"",IF(COUNTIF($D$11:D52,D52)&gt;1,0,ROUNDUP(MAX(SUMIF($D$11:$D$102,D52,$F$11:$F$102),G52)/H52,0)*H52))</x:f>
      </x:c>
      <x:c r="J52"/>
      <x:c r="K52" s="26"/>
      <x:c r="L52" s="27" t="str">
        <x:f>IF(K52="","",ROUND(F52*K52,4))</x:f>
      </x:c>
      <x:c r="M52" s="27" t="str">
        <x:f>IF(OR(K52="",I52="",N52=""),"",IF(N52&gt;=I52,ROUND(I52*K52,4),""))</x:f>
      </x:c>
      <x:c r="N52"/>
      <x:c r="O52" t="str">
        <x:v>LCSC code open: not found in the Amplifiers task lookup budget; price/stock unverified.</x:v>
      </x:c>
      <x:c r="P52" s="16" t="n">
        <x:v>46300</x:v>
      </x:c>
      <x:c r="Q52" t="str">
        <x:v>2026-10-06</x:v>
      </x:c>
      <x:c r="R52" t="str">
        <x:v>Amplifiers sheet, 2026-10-06. Not stocked at LCSC per search; alternatives: Cyntec PIMB104T-2R2MS (datasheet table 2, 18 A / 12 A) or Bourns SRP1265A-2R2M class. Stock KiCad XAL7070 footprint (7.5 x 7.2 mm).</x:v>
      </x:c>
      <x:c r="S52"/>
    </x:row>
    <x:row r="53" ht="36" customHeight="1">
      <x:c r="A53" s="25" t="str">
        <x:v>L201, L202, L203, L204, L205, L206</x:v>
      </x:c>
      <x:c r="B53" s="25" t="str">
        <x:v>Speaker output filter inductors 22uH, 5.0 A Isat (peak 2.8 A at 11.1 V into 4 ohm)</x:v>
      </x:c>
      <x:c r="C53" s="25" t="str">
        <x:v>Sunlord</x:v>
      </x:c>
      <x:c r="D53" s="25" t="str">
        <x:v>MWSA1265S-220MT</x:v>
      </x:c>
      <x:c r="E53" s="25"/>
      <x:c r="F53" s="25" t="n">
        <x:v>6</x:v>
      </x:c>
      <x:c r="G53"/>
      <x:c r="H53"/>
      <x:c r="I53" t="str">
        <x:f>IF(OR(D53="",G53="",H53=""),"",IF(COUNTIF($D$11:D53,D53)&gt;1,0,ROUNDUP(MAX(SUMIF($D$11:$D$102,D53,$F$11:$F$102),G53)/H53,0)*H53))</x:f>
      </x:c>
      <x:c r="J53"/>
      <x:c r="K53" s="26"/>
      <x:c r="L53" s="27" t="str">
        <x:f>IF(K53="","",ROUND(F53*K53,4))</x:f>
      </x:c>
      <x:c r="M53" s="27" t="str">
        <x:f>IF(OR(K53="",I53="",N53=""),"",IF(N53&gt;=I53,ROUND(I53*K53,4),""))</x:f>
      </x:c>
      <x:c r="N53"/>
      <x:c r="O53" t="str">
        <x:v>LCSC code open: not found in the Amplifiers task lookup budget; price/stock unverified.</x:v>
      </x:c>
      <x:c r="P53" s="16" t="n">
        <x:v>46300</x:v>
      </x:c>
      <x:c r="Q53" t="str">
        <x:v>2026-10-06</x:v>
      </x:c>
      <x:c r="R53" t="str">
        <x:v>Amplifiers sheet, 2026-10-06. Isat 5.0 A from the MWSA1265S series datasheet text; the 22 uH value row and its LCSC code were not confirmed. Stock KiCad MWSA1265S footprint (13.45 x 12.6 x 6.5 mm). OCP trips at about 7.5 A; confirm the saturation margin against measured peak.</x:v>
      </x:c>
      <x:c r="S53"/>
    </x:row>
    <x:row r="54" ht="36" customHeight="1">
      <x:c r="A54" s="25" t="str">
        <x:v>J9, J10, J11</x:v>
      </x:c>
      <x:c r="B54" s="25" t="str">
        <x:v>Speaker connectors FRONT_L, FRONT_R, WOOFER (JST VH 2-pin, 10 A)</x:v>
      </x:c>
      <x:c r="C54" s="25" t="str">
        <x:v>JST</x:v>
      </x:c>
      <x:c r="D54" s="25" t="str">
        <x:v>B2P-VH(LF)(SN)</x:v>
      </x:c>
      <x:c r="E54" s="25" t="str">
        <x:v>C160315</x:v>
      </x:c>
      <x:c r="F54" s="25" t="n">
        <x:v>3</x:v>
      </x:c>
      <x:c r="G54" t="n">
        <x:v>1</x:v>
      </x:c>
      <x:c r="H54" t="n">
        <x:v>1</x:v>
      </x:c>
      <x:c r="I54" t="n">
        <x:f>IF(OR(D54="",G54="",H54=""),"",IF(COUNTIF($D$11:D54,D54)&gt;1,0,ROUNDUP(MAX(SUMIF($D$11:$D$102,D54,$F$11:$F$102),G54)/H54,0)*H54))</x:f>
        <x:v>3</x:v>
      </x:c>
      <x:c r="J54" t="n">
        <x:v>1</x:v>
      </x:c>
      <x:c r="K54" s="26" t="n">
        <x:v>0.2404</x:v>
      </x:c>
      <x:c r="L54" s="27" t="n">
        <x:f>IF(K54="","",ROUND(F54*K54,4))</x:f>
        <x:v>0.7212</x:v>
      </x:c>
      <x:c r="M54" s="27" t="n">
        <x:f>IF(OR(K54="",I54="",N54=""),"",IF(N54&gt;=I54,ROUND(I54*K54,4),""))</x:f>
        <x:v>0.7212</x:v>
      </x:c>
      <x:c r="N54" t="n">
        <x:v>20650</x:v>
      </x:c>
      <x:c r="O54" t="str">
        <x:v>EasyEDA/LCSC API 2026-10-06; verify at order</x:v>
      </x:c>
      <x:c r="P54" s="16" t="n">
        <x:v>46300</x:v>
      </x:c>
      <x:c r="Q54" t="str">
        <x:v>2026-10-06</x:v>
      </x:c>
      <x:c r="R54" t="str">
        <x:v>Amplifiers sheet, 2026-10-06. Pin 1 +, pin 2 -. No 3D model linked (downloaded STEP axes not verified).</x:v>
      </x:c>
      <x:c r="S54" t="str">
        <x:v>https://www.lcsc.com/product-detail/C160315.html</x:v>
      </x:c>
    </x:row>
    <x:row r="55" ht="36" customHeight="1">
      <x:c r="A55" s="25" t="str">
        <x:v>C275</x:v>
      </x:c>
      <x:c r="B55" s="25" t="str">
        <x:v>PVDD_AMP bulk 100uF 25V polymer/hybrid (8x10 mm)</x:v>
      </x:c>
      <x:c r="C55" s="25" t="str">
        <x:v>Panasonic</x:v>
      </x:c>
      <x:c r="D55" s="25" t="str">
        <x:v>EEH-ZA1E101P</x:v>
      </x:c>
      <x:c r="E55" s="25"/>
      <x:c r="F55" s="25" t="n">
        <x:v>1</x:v>
      </x:c>
      <x:c r="G55"/>
      <x:c r="H55"/>
      <x:c r="I55" t="str">
        <x:f>IF(OR(D55="",G55="",H55=""),"",IF(COUNTIF($D$11:D55,D55)&gt;1,0,ROUNDUP(MAX(SUMIF($D$11:$D$102,D55,$F$11:$F$102),G55)/H55,0)*H55))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LCSC code open: not found in the Amplifiers task lookup budget; price/stock unverified. VERIFY part.</x:v>
      </x:c>
      <x:c r="P55" s="16" t="n">
        <x:v>46300</x:v>
      </x:c>
      <x:c r="Q55" t="str">
        <x:v>2026-10-06</x:v>
      </x:c>
      <x:c r="R55" t="str">
        <x:v>Amplifiers sheet, 2026-10-06. Bass-burst reservoir; part type not verified.</x:v>
      </x:c>
      <x:c r="S55"/>
    </x:row>
    <x:row r="56" ht="36" customHeight="1">
      <x:c r="A56" s="25" t="str">
        <x:v>C2, C5</x:v>
      </x:c>
      <x:c r="B56" s="25" t="str">
        <x:v>4.7uF X7R 50V 0805 hand-solder (C_0805_2012Metric)</x:v>
      </x:c>
      <x:c r="C56" s="25" t="str">
        <x:v>TDK</x:v>
      </x:c>
      <x:c r="D56" s="25" t="str">
        <x:v>C2012X7R1H475K125AC</x:v>
      </x:c>
      <x:c r="E56" s="25"/>
      <x:c r="F56" s="25" t="n">
        <x:v>2</x:v>
      </x:c>
      <x:c r="G56"/>
      <x:c r="H56"/>
      <x:c r="I56" t="str">
        <x:f>IF(OR(D56="",G56="",H56=""),"",IF(COUNTIF($D$11:D56,D56)&gt;1,0,ROUNDUP(MAX(SUMIF($D$11:$D$102,D56,$F$11:$F$102),G56)/H56,0)*H56))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LCSC code open: MPN from family knowledge, not looked up; price/stock unverified</x:v>
      </x:c>
      <x:c r="P56" s="16" t="n">
        <x:v>46300</x:v>
      </x:c>
      <x:c r="Q56" t="str">
        <x:v>2026-10-06</x:v>
      </x:c>
      <x:c r="R56" t="str">
        <x:v>Passive repackage 2026-10-06 (hand-solder policy): was C_1210/C_1206 using CL32B475KBUYNNE, (none). See reports/passive-repackage-2026-10-06.md. MPN not stock-checked unless an LCSC code with price is shown.</x:v>
      </x:c>
      <x:c r="S56"/>
    </x:row>
    <x:row r="57" ht="36" customHeight="1">
      <x:c r="A57" s="25" t="str">
        <x:v>C100, C101, C108, C111, C112</x:v>
      </x:c>
      <x:c r="B57" s="25" t="str">
        <x:v>10uF / 50V 0805 hand-solder (C_0805_2012Metric)</x:v>
      </x:c>
      <x:c r="C57" s="25" t="str">
        <x:v>Murata</x:v>
      </x:c>
      <x:c r="D57" s="25" t="str">
        <x:v>GRM21BR61H106KE43L</x:v>
      </x:c>
      <x:c r="E57" s="25"/>
      <x:c r="F57" s="25" t="n">
        <x:v>5</x:v>
      </x:c>
      <x:c r="G57"/>
      <x:c r="H57"/>
      <x:c r="I57" t="str">
        <x:f>IF(OR(D57="",G57="",H57=""),"",IF(COUNTIF($D$11:D57,D57)&gt;1,0,ROUNDUP(MAX(SUMIF($D$11:$D$102,D57,$F$11:$F$102),G57)/H57,0)*H57))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LCSC code open: MPN from family knowledge, not looked up; price/stock unverified</x:v>
      </x:c>
      <x:c r="P57" s="16" t="n">
        <x:v>46300</x:v>
      </x:c>
      <x:c r="Q57" t="str">
        <x:v>2026-10-06</x:v>
      </x:c>
      <x:c r="R57" t="str">
        <x:v>Passive repackage 2026-10-06 (hand-solder policy): was C_1210 using CL32B106KBJNNNE. See reports/passive-repackage-2026-10-06.md. MPN not stock-checked unless an LCSC code with price is shown.</x:v>
      </x:c>
      <x:c r="S57"/>
    </x:row>
    <x:row r="58" ht="72" customHeight="1">
      <x:c r="A58" s="25" t="str">
        <x:v>C102, C109, C175, C176, C181, C185, C190, C214, C216, C218, C223</x:v>
      </x:c>
      <x:c r="B58" s="25" t="str">
        <x:v>10uF / 10uF / 10V / 10uF X7R 10V / 10uF X7R 10V CVIN_3V3 0805 hand-solder (C_0805_2012Metric)</x:v>
      </x:c>
      <x:c r="C58" s="25" t="str">
        <x:v>Samsung Electro-Mechanics</x:v>
      </x:c>
      <x:c r="D58" s="25" t="str">
        <x:v>CL21B106KPQNNNE</x:v>
      </x:c>
      <x:c r="E58" s="25" t="str">
        <x:v>C32635</x:v>
      </x:c>
      <x:c r="F58" s="25" t="n">
        <x:v>11</x:v>
      </x:c>
      <x:c r="G58" t="n">
        <x:v>10</x:v>
      </x:c>
      <x:c r="H58" t="n">
        <x:v>10</x:v>
      </x:c>
      <x:c r="I58" t="n">
        <x:f>IF(OR(D58="",G58="",H58=""),"",IF(COUNTIF($D$11:D58,D58)&gt;1,0,ROUNDUP(MAX(SUMIF($D$11:$D$102,D58,$F$11:$F$102),G58)/H58,0)*H58))</x:f>
        <x:v>20</x:v>
      </x:c>
      <x:c r="J58" t="n">
        <x:v>10</x:v>
      </x:c>
      <x:c r="K58" s="26" t="n">
        <x:v>0.093</x:v>
      </x:c>
      <x:c r="L58" s="27" t="n">
        <x:f>IF(K58="","",ROUND(F58*K58,4))</x:f>
        <x:v>1.023</x:v>
      </x:c>
      <x:c r="M58" s="27" t="n">
        <x:f>IF(OR(K58="",I58="",N58=""),"",IF(N58&gt;=I58,ROUND(I58*K58,4),""))</x:f>
        <x:v>1.86</x:v>
      </x:c>
      <x:c r="N58" t="n">
        <x:v>230700</x:v>
      </x:c>
      <x:c r="O58" t="str">
        <x:v>Listing snapshot</x:v>
      </x:c>
      <x:c r="P58" s="16" t="n">
        <x:v>46300</x:v>
      </x:c>
      <x:c r="Q58" t="str">
        <x:v>2026-10-05</x:v>
      </x:c>
      <x:c r="R58" t="str">
        <x:v>Passive repackage 2026-10-06 (hand-solder policy): was C_0805 using CL21B106KPQNNNE. See reports/passive-repackage-2026-10-06.md. </x:v>
      </x:c>
      <x:c r="S58" t="str">
        <x:v>https://www.lcsc.com/product-detail/C32635.html</x:v>
      </x:c>
    </x:row>
    <x:row r="59" ht="36" customHeight="1">
      <x:c r="A59" s="25" t="str">
        <x:v>C177, C178</x:v>
      </x:c>
      <x:c r="B59" s="25" t="str">
        <x:v>33pF 0402 hand-solder (C_0402_1005Metric)</x:v>
      </x:c>
      <x:c r="C59" s="25" t="str">
        <x:v>Murata</x:v>
      </x:c>
      <x:c r="D59" s="25" t="str">
        <x:v>GRM1555C1H330JA01D</x:v>
      </x:c>
      <x:c r="E59" s="25"/>
      <x:c r="F59" s="25" t="n">
        <x:v>2</x:v>
      </x:c>
      <x:c r="G59"/>
      <x:c r="H59"/>
      <x:c r="I59" t="str">
        <x:f>IF(OR(D59="",G59="",H59=""),"",IF(COUNTIF($D$11:D59,D59)&gt;1,0,ROUNDUP(MAX(SUMIF($D$11:$D$102,D59,$F$11:$F$102),G59)/H59,0)*H59))</x:f>
      </x:c>
      <x:c r="J59"/>
      <x:c r="K59" s="26"/>
      <x:c r="L59" s="27" t="str">
        <x:f>IF(K59="","",ROUND(F59*K59,4))</x:f>
      </x:c>
      <x:c r="M59" s="27" t="str">
        <x:f>IF(OR(K59="",I59="",N59=""),"",IF(N59&gt;=I59,ROUND(I59*K59,4),""))</x:f>
      </x:c>
      <x:c r="N59"/>
      <x:c r="O59" t="str">
        <x:v>LCSC code open: MPN from family knowledge, not looked up; price/stock unverified</x:v>
      </x:c>
      <x:c r="P59" s="16" t="n">
        <x:v>46300</x:v>
      </x:c>
      <x:c r="Q59" t="str">
        <x:v>2026-10-06</x:v>
      </x:c>
      <x:c r="R59" t="str">
        <x:v>Passive repackage 2026-10-06 (hand-solder policy): was C_0603 using CL10C330JB8NNNC. See reports/passive-repackage-2026-10-06.md. MPN not stock-checked unless an LCSC code with price is shown.</x:v>
      </x:c>
      <x:c r="S59"/>
    </x:row>
    <x:row r="60" ht="36" customHeight="1">
      <x:c r="A60" s="25" t="str">
        <x:v>C182, C183</x:v>
      </x:c>
      <x:c r="B60" s="25" t="str">
        <x:v>330pF C0G CC1 filter / 330pF C0G CC2 filter 0402 hand-solder (C_0402_1005Metric)</x:v>
      </x:c>
      <x:c r="C60" s="25" t="str">
        <x:v>Murata</x:v>
      </x:c>
      <x:c r="D60" s="25" t="str">
        <x:v>GRM1555C1H331JA01D</x:v>
      </x:c>
      <x:c r="E60" s="25"/>
      <x:c r="F60" s="25" t="n">
        <x:v>2</x:v>
      </x:c>
      <x:c r="G60"/>
      <x:c r="H60"/>
      <x:c r="I60" t="str">
        <x:f>IF(OR(D60="",G60="",H60=""),"",IF(COUNTIF($D$11:D60,D60)&gt;1,0,ROUNDUP(MAX(SUMIF($D$11:$D$102,D60,$F$11:$F$102),G60)/H60,0)*H60))</x:f>
      </x:c>
      <x:c r="J60"/>
      <x:c r="K60" s="26"/>
      <x:c r="L60" s="27" t="str">
        <x:f>IF(K60="","",ROUND(F60*K60,4))</x:f>
      </x:c>
      <x:c r="M60" s="27" t="str">
        <x:f>IF(OR(K60="",I60="",N60=""),"",IF(N60&gt;=I60,ROUND(I60*K60,4),""))</x:f>
      </x:c>
      <x:c r="N60"/>
      <x:c r="O60" t="str">
        <x:v>LCSC code open: MPN from family knowledge, not looked up; price/stock unverified</x:v>
      </x:c>
      <x:c r="P60" s="16" t="n">
        <x:v>46300</x:v>
      </x:c>
      <x:c r="Q60" t="str">
        <x:v>2026-10-06</x:v>
      </x:c>
      <x:c r="R60" t="str">
        <x:v>Passive repackage 2026-10-06 (hand-solder policy): was C_0603 using CL10C331JB8NNNC. See reports/passive-repackage-2026-10-06.md. MPN not stock-checked unless an LCSC code with price is shown.</x:v>
      </x:c>
      <x:c r="S60"/>
    </x:row>
    <x:row r="61" ht="36" customHeight="1">
      <x:c r="A61" s="25" t="str">
        <x:v>C206, C207, C208, C209, C210, C211</x:v>
      </x:c>
      <x:c r="B61" s="25" t="str">
        <x:v>10nF C0G 0402 hand-solder (C_0402_1005Metric)</x:v>
      </x:c>
      <x:c r="C61" s="25" t="str">
        <x:v>Murata</x:v>
      </x:c>
      <x:c r="D61" s="25" t="str">
        <x:v>GRM1555C1H103JA01D</x:v>
      </x:c>
      <x:c r="E61" s="25"/>
      <x:c r="F61" s="25" t="n">
        <x:v>6</x:v>
      </x:c>
      <x:c r="G61"/>
      <x:c r="H61"/>
      <x:c r="I61" t="str">
        <x:f>IF(OR(D61="",G61="",H61=""),"",IF(COUNTIF($D$11:D61,D61)&gt;1,0,ROUNDUP(MAX(SUMIF($D$11:$D$102,D61,$F$11:$F$102),G61)/H61,0)*H61))</x:f>
      </x:c>
      <x:c r="J61"/>
      <x:c r="K61" s="26"/>
      <x:c r="L61" s="27" t="str">
        <x:f>IF(K61="","",ROUND(F61*K61,4))</x:f>
      </x:c>
      <x:c r="M61" s="27" t="str">
        <x:f>IF(OR(K61="",I61="",N61=""),"",IF(N61&gt;=I61,ROUND(I61*K61,4),""))</x:f>
      </x:c>
      <x:c r="N61"/>
      <x:c r="O61" t="str">
        <x:v>LCSC code open: MPN from family knowledge, not looked up; price/stock unverified</x:v>
      </x:c>
      <x:c r="P61" s="16" t="n">
        <x:v>46300</x:v>
      </x:c>
      <x:c r="Q61" t="str">
        <x:v>2026-10-06</x:v>
      </x:c>
      <x:c r="R61" t="str">
        <x:v>Passive repackage 2026-10-06 (hand-solder policy): was C_0603 using GRM1885C1H103JA01D. See reports/passive-repackage-2026-10-06.md. MPN not stock-checked unless an LCSC code with price is shown.</x:v>
      </x:c>
      <x:c r="S61"/>
    </x:row>
    <x:row r="62" ht="36" customHeight="1">
      <x:c r="A62" s="25" t="str">
        <x:v>C226, C227</x:v>
      </x:c>
      <x:c r="B62" s="25" t="str">
        <x:v>22pF C0G 0402 hand-solder (C_0402_1005Metric)</x:v>
      </x:c>
      <x:c r="C62" s="25" t="str">
        <x:v>Murata</x:v>
      </x:c>
      <x:c r="D62" s="25" t="str">
        <x:v>GRM1555C1H220JA01D</x:v>
      </x:c>
      <x:c r="E62" s="25"/>
      <x:c r="F62" s="25" t="n">
        <x:v>2</x:v>
      </x:c>
      <x:c r="G62"/>
      <x:c r="H62"/>
      <x:c r="I62" t="str">
        <x:f>IF(OR(D62="",G62="",H62=""),"",IF(COUNTIF($D$11:D62,D62)&gt;1,0,ROUNDUP(MAX(SUMIF($D$11:$D$102,D62,$F$11:$F$102),G62)/H62,0)*H62))</x:f>
      </x:c>
      <x:c r="J62"/>
      <x:c r="K62" s="26"/>
      <x:c r="L62" s="27" t="str">
        <x:f>IF(K62="","",ROUND(F62*K62,4))</x:f>
      </x:c>
      <x:c r="M62" s="27" t="str">
        <x:f>IF(OR(K62="",I62="",N62=""),"",IF(N62&gt;=I62,ROUND(I62*K62,4),""))</x:f>
      </x:c>
      <x:c r="N62"/>
      <x:c r="O62" t="str">
        <x:v>LCSC code open: MPN from family knowledge, not looked up; price/stock unverified</x:v>
      </x:c>
      <x:c r="P62" s="16" t="n">
        <x:v>46300</x:v>
      </x:c>
      <x:c r="Q62" t="str">
        <x:v>2026-10-06</x:v>
      </x:c>
      <x:c r="R62" t="str">
        <x:v>Passive repackage 2026-10-06 (hand-solder policy): was C_0603 using CL10C220JB8NNNC. See reports/passive-repackage-2026-10-06.md. MPN not stock-checked unless an LCSC code with price is shown.</x:v>
      </x:c>
      <x:c r="S62"/>
    </x:row>
    <x:row r="63" ht="36" customHeight="1">
      <x:c r="A63" s="25" t="str">
        <x:v>C200, C201, C202, C203, C204, C205, C243, C244</x:v>
      </x:c>
      <x:c r="B63" s="25" t="str">
        <x:v>2.2uF 0402 hand-solder (C_0402_1005Metric)</x:v>
      </x:c>
      <x:c r="C63" s="25" t="str">
        <x:v>Samsung Electro-Mechanics</x:v>
      </x:c>
      <x:c r="D63" s="25" t="str">
        <x:v>CL05A225KP5NNNC</x:v>
      </x:c>
      <x:c r="E63" s="25"/>
      <x:c r="F63" s="25" t="n">
        <x:v>8</x:v>
      </x:c>
      <x:c r="G63"/>
      <x:c r="H63"/>
      <x:c r="I63" t="str">
        <x:f>IF(OR(D63="",G63="",H63=""),"",IF(COUNTIF($D$11:D63,D63)&gt;1,0,ROUNDUP(MAX(SUMIF($D$11:$D$102,D63,$F$11:$F$102),G63)/H63,0)*H63))</x:f>
      </x:c>
      <x:c r="J63"/>
      <x:c r="K63" s="26"/>
      <x:c r="L63" s="27" t="str">
        <x:f>IF(K63="","",ROUND(F63*K63,4))</x:f>
      </x:c>
      <x:c r="M63" s="27" t="str">
        <x:f>IF(OR(K63="",I63="",N63=""),"",IF(N63&gt;=I63,ROUND(I63*K63,4),""))</x:f>
      </x:c>
      <x:c r="N63"/>
      <x:c r="O63" t="str">
        <x:v>LCSC code open: MPN from family knowledge, not looked up; price/stock unverified</x:v>
      </x:c>
      <x:c r="P63" s="16" t="n">
        <x:v>46300</x:v>
      </x:c>
      <x:c r="Q63" t="str">
        <x:v>2026-10-06</x:v>
      </x:c>
      <x:c r="R63" t="str">
        <x:v>Passive repackage 2026-10-06 (hand-solder policy): was C_0805 using CL21B225KAFNNNE. See reports/passive-repackage-2026-10-06.md. MPN not stock-checked unless an LCSC code with price is shown.</x:v>
      </x:c>
      <x:c r="S63"/>
    </x:row>
    <x:row r="64" ht="36" customHeight="1">
      <x:c r="A64" s="25" t="str">
        <x:v>C113, C114, C115, C120, C121, C126, C130, C131, C132, C143, C151, C160, C162, C163, C191, C213, C215, C217, C219, C237, C238, C242, C246, C260, C267, C276, C278, C281, C289, C291, C294</x:v>
      </x:c>
      <x:c r="B64" s="25" t="str">
        <x:v>0.1uF / 50V / 100nF / 100nF 10V X7R / 100nF X7R 10V 0402 hand-solder (C_0402_1005Metric)</x:v>
      </x:c>
      <x:c r="C64" s="25" t="str">
        <x:v>Murata</x:v>
      </x:c>
      <x:c r="D64" s="25" t="str">
        <x:v>GRM155R71H104KE14D</x:v>
      </x:c>
      <x:c r="E64" s="25" t="str">
        <x:v>C77020</x:v>
      </x:c>
      <x:c r="F64" s="25" t="n">
        <x:v>31</x:v>
      </x:c>
      <x:c r="G64" t="n">
        <x:v>100</x:v>
      </x:c>
      <x:c r="H64" t="n">
        <x:v>100</x:v>
      </x:c>
      <x:c r="I64" t="n">
        <x:f>IF(OR(D64="",G64="",H64=""),"",IF(COUNTIF($D$11:D64,D64)&gt;1,0,ROUNDUP(MAX(SUMIF($D$11:$D$102,D64,$F$11:$F$102),G64)/H64,0)*H64))</x:f>
        <x:v>100</x:v>
      </x:c>
      <x:c r="J64" t="n">
        <x:v>100</x:v>
      </x:c>
      <x:c r="K64" s="26" t="n">
        <x:v>0.007</x:v>
      </x:c>
      <x:c r="L64" s="27" t="n">
        <x:f>IF(K64="","",ROUND(F64*K64,4))</x:f>
        <x:v>0.217</x:v>
      </x:c>
      <x:c r="M64" s="27" t="n">
        <x:f>IF(OR(K64="",I64="",N64=""),"",IF(N64&gt;=I64,ROUND(I64*K64,4),""))</x:f>
        <x:v>0.7</x:v>
      </x:c>
      <x:c r="N64" t="n">
        <x:v>777000</x:v>
      </x:c>
      <x:c r="O64" t="str">
        <x:v>Listing snapshot</x:v>
      </x:c>
      <x:c r="P64" s="16" t="n">
        <x:v>46300</x:v>
      </x:c>
      <x:c r="Q64" t="str">
        <x:v>2026-10-05</x:v>
      </x:c>
      <x:c r="R64" t="str">
        <x:v>Passive repackage 2026-10-06 (hand-solder policy): was C_0603/C_0402 using CL10B104KB8NNNC, GRM155R71H104KE14D. See reports/passive-repackage-2026-10-06.md. Footprint DesktopSpeaker:PD_C_0402 (no 3D model)</x:v>
      </x:c>
      <x:c r="S64" t="str">
        <x:v>https://www.lcsc.com/product-detail/C77020.html</x:v>
      </x:c>
    </x:row>
    <x:row r="65" ht="36" customHeight="1">
      <x:c r="A65" s="25" t="str">
        <x:v>C6, C104, C105, C106, C107, C140, C141, C142, C150, C152, C153, C154, C261, C262, C263, C264</x:v>
      </x:c>
      <x:c r="B65" s="25" t="str">
        <x:v>22uF / 10V / 22uF 10V / 22uF 10V X7R / 22uF X7R 10V 0805 hand-solder (C_0805_2012Metric)</x:v>
      </x:c>
      <x:c r="C65" s="25" t="str">
        <x:v>Murata</x:v>
      </x:c>
      <x:c r="D65" s="25" t="str">
        <x:v>GRM21BZ71A226ME15L</x:v>
      </x:c>
      <x:c r="E65" s="25" t="str">
        <x:v>C907991</x:v>
      </x:c>
      <x:c r="F65" s="25" t="n">
        <x:v>16</x:v>
      </x:c>
      <x:c r="G65" t="n">
        <x:v>5</x:v>
      </x:c>
      <x:c r="H65" t="n">
        <x:v>5</x:v>
      </x:c>
      <x:c r="I65" t="n">
        <x:f>IF(OR(D65="",G65="",H65=""),"",IF(COUNTIF($D$11:D65,D65)&gt;1,0,ROUNDUP(MAX(SUMIF($D$11:$D$102,D65,$F$11:$F$102),G65)/H65,0)*H65))</x:f>
        <x:v>20</x:v>
      </x:c>
      <x:c r="J65" t="n">
        <x:v>5</x:v>
      </x:c>
      <x:c r="K65" s="26" t="n">
        <x:v>0.2543</x:v>
      </x:c>
      <x:c r="L65" s="27" t="n">
        <x:f>IF(K65="","",ROUND(F65*K65,4))</x:f>
        <x:v>4.0688</x:v>
      </x:c>
      <x:c r="M65" s="27" t="n">
        <x:f>IF(OR(K65="",I65="",N65=""),"",IF(N65&gt;=I65,ROUND(I65*K65,4),""))</x:f>
        <x:v>5.086</x:v>
      </x:c>
      <x:c r="N65" t="n">
        <x:v>146915</x:v>
      </x:c>
      <x:c r="O65" t="str">
        <x:v>Selected; price/stock open</x:v>
      </x:c>
      <x:c r="P65" s="16" t="n">
        <x:v>46300</x:v>
      </x:c>
      <x:c r="Q65" t="str">
        <x:v>2026-10-05</x:v>
      </x:c>
      <x:c r="R65" t="str">
        <x:v>Passive repackage 2026-10-06 (hand-solder policy): was C_0805 using GRM21BZ71A226ME15L. See reports/passive-repackage-2026-10-06.md. Amplifiers sheet, 2026-10-06. Added C261, C262, C263, C264.</x:v>
      </x:c>
      <x:c r="S65" t="str">
        <x:v>https://www.lcsc.com/product-detail/C907991.html</x:v>
      </x:c>
    </x:row>
    <x:row r="66" ht="36" customHeight="1">
      <x:c r="A66" s="25" t="str">
        <x:v>C265</x:v>
      </x:c>
      <x:c r="B66" s="25" t="str">
        <x:v>2.2uF 0805 hand-solder (C_0805_2012Metric)</x:v>
      </x:c>
      <x:c r="C66" s="25" t="str">
        <x:v>Samsung Electro-Mechanics</x:v>
      </x:c>
      <x:c r="D66" s="25" t="str">
        <x:v>CL21B225KAFNNNE</x:v>
      </x:c>
      <x:c r="E66" s="25" t="str">
        <x:v>C19110</x:v>
      </x:c>
      <x:c r="F66" s="25" t="n">
        <x:v>1</x:v>
      </x:c>
      <x:c r="G66" t="n">
        <x:v>10</x:v>
      </x:c>
      <x:c r="H66" t="n">
        <x:v>10</x:v>
      </x:c>
      <x:c r="I66" t="n">
        <x:f>IF(OR(D66="",G66="",H66=""),"",IF(COUNTIF($D$11:D66,D66)&gt;1,0,ROUNDUP(MAX(SUMIF($D$11:$D$102,D66,$F$11:$F$102),G66)/H66,0)*H66))</x:f>
        <x:v>10</x:v>
      </x:c>
      <x:c r="J66" t="n">
        <x:v>10</x:v>
      </x:c>
      <x:c r="K66" s="26"/>
      <x:c r="L66" s="27" t="str">
        <x:f>IF(K66="","",ROUND(F66*K66,4))</x:f>
      </x:c>
      <x:c r="M66" s="27" t="str">
        <x:f>IF(OR(K66="",I66="",N66=""),"",IF(N66&gt;=I66,ROUND(I66*K66,4),""))</x:f>
      </x:c>
      <x:c r="N66"/>
      <x:c r="O66" t="str">
        <x:v>LCSC number from search 2026-10-06; price/stock unverified</x:v>
      </x:c>
      <x:c r="P66" s="16" t="n">
        <x:v>46300</x:v>
      </x:c>
      <x:c r="Q66" t="str">
        <x:v>2026-10-06</x:v>
      </x:c>
      <x:c r="R66" t="str">
        <x:v>Passive repackage 2026-10-06 (hand-solder policy): was C_0805 using CL21B225KAFNNNE. See reports/passive-repackage-2026-10-06.md. Source_Select_ADC sheet, 2026-10-06. Unverified: LCSC code/price/stock not checked at this BOM freeze. Check voltage rating and DC-bias. Headphone_Aux sheet, 2026-10-06. Added C243, C244. Amplifiers sheet, 2026-10-06. Added C265.</x:v>
      </x:c>
      <x:c r="S66" t="str">
        <x:v>https://www.lcsc.com/product-detail/C19110.html</x:v>
      </x:c>
    </x:row>
    <x:row r="67" ht="36" customHeight="1">
      <x:c r="A67" s="25" t="str">
        <x:v>C103, C110, C266</x:v>
      </x:c>
      <x:c r="B67" s="25" t="str">
        <x:v>47nF / 47nF / 50V 0402 hand-solder (C_0402_1005Metric)</x:v>
      </x:c>
      <x:c r="C67" s="25" t="str">
        <x:v>Murata</x:v>
      </x:c>
      <x:c r="D67" s="25" t="str">
        <x:v>GRM155R71H473KA12D</x:v>
      </x:c>
      <x:c r="E67" s="25"/>
      <x:c r="F67" s="25" t="n">
        <x:v>3</x:v>
      </x:c>
      <x:c r="G67"/>
      <x:c r="H67"/>
      <x:c r="I67" t="str">
        <x:f>IF(OR(D67="",G67="",H67=""),"",IF(COUNTIF($D$11:D67,D67)&gt;1,0,ROUNDUP(MAX(SUMIF($D$11:$D$102,D67,$F$11:$F$102),G67)/H67,0)*H67))</x:f>
      </x:c>
      <x:c r="J67"/>
      <x:c r="K67" s="26"/>
      <x:c r="L67" s="27" t="str">
        <x:f>IF(K67="","",ROUND(F67*K67,4))</x:f>
      </x:c>
      <x:c r="M67" s="27" t="str">
        <x:f>IF(OR(K67="",I67="",N67=""),"",IF(N67&gt;=I67,ROUND(I67*K67,4),""))</x:f>
      </x:c>
      <x:c r="N67"/>
      <x:c r="O67" t="str">
        <x:v>LCSC code open: MPN from family knowledge, not looked up; price/stock unverified</x:v>
      </x:c>
      <x:c r="P67" s="16" t="n">
        <x:v>46300</x:v>
      </x:c>
      <x:c r="Q67" t="str">
        <x:v>2026-10-06</x:v>
      </x:c>
      <x:c r="R67" t="str">
        <x:v>Passive repackage 2026-10-06 (hand-solder policy): was C_0603 using CC0603KRX7R9BB473. See reports/passive-repackage-2026-10-06.md. MPN not stock-checked unless an LCSC code with price is shown.</x:v>
      </x:c>
      <x:c r="S67"/>
    </x:row>
    <x:row r="68" ht="36" customHeight="1">
      <x:c r="A68" s="25" t="str">
        <x:v>C268</x:v>
      </x:c>
      <x:c r="B68" s="25" t="str">
        <x:v>6.8nF 0402 hand-solder (C_0402_1005Metric)</x:v>
      </x:c>
      <x:c r="C68" s="25" t="str">
        <x:v>Murata</x:v>
      </x:c>
      <x:c r="D68" s="25" t="str">
        <x:v>GRM155R71H682KA01D</x:v>
      </x:c>
      <x:c r="E68" s="25"/>
      <x:c r="F68" s="25" t="n">
        <x:v>1</x:v>
      </x:c>
      <x:c r="G68"/>
      <x:c r="H68"/>
      <x:c r="I68" t="str">
        <x:f>IF(OR(D68="",G68="",H68=""),"",IF(COUNTIF($D$11:D68,D68)&gt;1,0,ROUNDUP(MAX(SUMIF($D$11:$D$102,D68,$F$11:$F$102),G68)/H68,0)*H68))</x:f>
      </x:c>
      <x:c r="J68"/>
      <x:c r="K68" s="26"/>
      <x:c r="L68" s="27" t="str">
        <x:f>IF(K68="","",ROUND(F68*K68,4))</x:f>
      </x:c>
      <x:c r="M68" s="27" t="str">
        <x:f>IF(OR(K68="",I68="",N68=""),"",IF(N68&gt;=I68,ROUND(I68*K68,4),""))</x:f>
      </x:c>
      <x:c r="N68"/>
      <x:c r="O68" t="str">
        <x:v>LCSC code open: MPN from family knowledge, not looked up; price/stock unverified</x:v>
      </x:c>
      <x:c r="P68" s="16" t="n">
        <x:v>46300</x:v>
      </x:c>
      <x:c r="Q68" t="str">
        <x:v>2026-10-06</x:v>
      </x:c>
      <x:c r="R68" t="str">
        <x:v>Passive repackage 2026-10-06 (hand-solder policy): was C_0603 using CL10B682KB8NNNC. See reports/passive-repackage-2026-10-06.md. MPN not stock-checked unless an LCSC code with price is shown.</x:v>
      </x:c>
      <x:c r="S68"/>
    </x:row>
    <x:row r="69" ht="36" customHeight="1">
      <x:c r="A69" s="25" t="str">
        <x:v>C269</x:v>
      </x:c>
      <x:c r="B69" s="25" t="str">
        <x:v>47pF 0402 hand-solder (C_0402_1005Metric)</x:v>
      </x:c>
      <x:c r="C69" s="25" t="str">
        <x:v>Murata</x:v>
      </x:c>
      <x:c r="D69" s="25" t="str">
        <x:v>GRM1555C1H470JA01D</x:v>
      </x:c>
      <x:c r="E69" s="25"/>
      <x:c r="F69" s="25" t="n">
        <x:v>1</x:v>
      </x:c>
      <x:c r="G69"/>
      <x:c r="H69"/>
      <x:c r="I69" t="str">
        <x:f>IF(OR(D69="",G69="",H69=""),"",IF(COUNTIF($D$11:D69,D69)&gt;1,0,ROUNDUP(MAX(SUMIF($D$11:$D$102,D69,$F$11:$F$102),G69)/H69,0)*H69))</x:f>
      </x:c>
      <x:c r="J69"/>
      <x:c r="K69" s="26"/>
      <x:c r="L69" s="27" t="str">
        <x:f>IF(K69="","",ROUND(F69*K69,4))</x:f>
      </x:c>
      <x:c r="M69" s="27" t="str">
        <x:f>IF(OR(K69="",I69="",N69=""),"",IF(N69&gt;=I69,ROUND(I69*K69,4),""))</x:f>
      </x:c>
      <x:c r="N69"/>
      <x:c r="O69" t="str">
        <x:v>LCSC code open: MPN from family knowledge, not looked up; price/stock unverified</x:v>
      </x:c>
      <x:c r="P69" s="16" t="n">
        <x:v>46300</x:v>
      </x:c>
      <x:c r="Q69" t="str">
        <x:v>2026-10-06</x:v>
      </x:c>
      <x:c r="R69" t="str">
        <x:v>Passive repackage 2026-10-06 (hand-solder policy): was C_0603 using CL10C470JB8NNNC. See reports/passive-repackage-2026-10-06.md. MPN not stock-checked unless an LCSC code with price is shown.</x:v>
      </x:c>
      <x:c r="S69"/>
    </x:row>
    <x:row r="70" ht="36" customHeight="1">
      <x:c r="A70" s="25" t="str">
        <x:v>C184, C270</x:v>
      </x:c>
      <x:c r="B70" s="25" t="str">
        <x:v>1uF / 1uF X7R 50V 0805 hand-solder (C_0805_2012Metric)</x:v>
      </x:c>
      <x:c r="C70" s="25" t="str">
        <x:v>Samsung Electro-Mechanics</x:v>
      </x:c>
      <x:c r="D70" s="25" t="str">
        <x:v>CL21B105KBFNNNE</x:v>
      </x:c>
      <x:c r="E70" s="25" t="str">
        <x:v>C28323</x:v>
      </x:c>
      <x:c r="F70" s="25" t="n">
        <x:v>2</x:v>
      </x:c>
      <x:c r="G70" t="n">
        <x:v>10</x:v>
      </x:c>
      <x:c r="H70" t="n">
        <x:v>10</x:v>
      </x:c>
      <x:c r="I70" t="n">
        <x:f>IF(OR(D70="",G70="",H70=""),"",IF(COUNTIF($D$11:D70,D70)&gt;1,0,ROUNDUP(MAX(SUMIF($D$11:$D$102,D70,$F$11:$F$102),G70)/H70,0)*H70))</x:f>
        <x:v>10</x:v>
      </x:c>
      <x:c r="J70" t="n">
        <x:v>10</x:v>
      </x:c>
      <x:c r="K70" s="26" t="n">
        <x:v>0.0403</x:v>
      </x:c>
      <x:c r="L70" s="27" t="n">
        <x:f>IF(K70="","",ROUND(F70*K70,4))</x:f>
        <x:v>0.0806</x:v>
      </x:c>
      <x:c r="M70" s="27" t="n">
        <x:f>IF(OR(K70="",I70="",N70=""),"",IF(N70&gt;=I70,ROUND(I70*K70,4),""))</x:f>
        <x:v>0.403</x:v>
      </x:c>
      <x:c r="N70" t="n">
        <x:v>1363910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Passive repackage 2026-10-06 (hand-solder policy): was C_0805 using CL21B105KBFNNNE. See reports/passive-repackage-2026-10-06.md. CL21B105KBFNNNE; effective capacitance at bias not proven. Headphone_Aux sheet, 2026-10-06. Added C230, C231, C232, C233, C234, C235, C239, C240, C241, C245. Amplifiers sheet, 2026-10-06. Added C270, C282, C283, C284, C295, C296, C297.</x:v>
      </x:c>
      <x:c r="S70" t="str">
        <x:v>https://www.lcsc.com/product-detail/C28323.html</x:v>
      </x:c>
    </x:row>
    <x:row r="71" ht="36" customHeight="1">
      <x:c r="A71" s="25" t="str">
        <x:v>C271, C272, C273, C274, C277, C279, C290, C292</x:v>
      </x:c>
      <x:c r="B71" s="25" t="str">
        <x:v>22uF 25V 0805 hand-solder (C_0805_2012Metric)</x:v>
      </x:c>
      <x:c r="C71" s="25" t="str">
        <x:v>Samsung Electro-Mechanics</x:v>
      </x:c>
      <x:c r="D71" s="25" t="str">
        <x:v>CL21A226MAQNNNE</x:v>
      </x:c>
      <x:c r="E71" s="25"/>
      <x:c r="F71" s="25" t="n">
        <x:v>8</x:v>
      </x:c>
      <x:c r="G71"/>
      <x:c r="H71"/>
      <x:c r="I71" t="str">
        <x:f>IF(OR(D71="",G71="",H71=""),"",IF(COUNTIF($D$11:D71,D71)&gt;1,0,ROUNDUP(MAX(SUMIF($D$11:$D$102,D71,$F$11:$F$102),G71)/H71,0)*H71))</x:f>
      </x:c>
      <x:c r="J71"/>
      <x:c r="K71" s="26"/>
      <x:c r="L71" s="27" t="str">
        <x:f>IF(K71="","",ROUND(F71*K71,4))</x:f>
      </x:c>
      <x:c r="M71" s="27" t="str">
        <x:f>IF(OR(K71="",I71="",N71=""),"",IF(N71&gt;=I71,ROUND(I71*K71,4),""))</x:f>
      </x:c>
      <x:c r="N71"/>
      <x:c r="O71" t="str">
        <x:v>LCSC code open: MPN from family knowledge, not looked up; price/stock unverified</x:v>
      </x:c>
      <x:c r="P71" s="16" t="n">
        <x:v>46300</x:v>
      </x:c>
      <x:c r="Q71" t="str">
        <x:v>2026-10-06</x:v>
      </x:c>
      <x:c r="R71" t="str">
        <x:v>Passive repackage 2026-10-06 (hand-solder policy): was C_1210 using CL32B226KAJNNNE. See reports/passive-repackage-2026-10-06.md. MPN not stock-checked unless an LCSC code with price is shown.</x:v>
      </x:c>
      <x:c r="S71"/>
    </x:row>
    <x:row r="72" ht="36" customHeight="1">
      <x:c r="A72" s="25" t="str">
        <x:v>C161, C186, C187, C194, C195, C236, C280, C293</x:v>
      </x:c>
      <x:c r="B72" s="25" t="str">
        <x:v>4.7uF 0805 hand-solder (C_0805_2012Metric)</x:v>
      </x:c>
      <x:c r="C72" s="25" t="str">
        <x:v>Samsung Electro-Mechanics</x:v>
      </x:c>
      <x:c r="D72" s="25" t="str">
        <x:v>CL21A475KAQNNNE</x:v>
      </x:c>
      <x:c r="E72" s="25"/>
      <x:c r="F72" s="25" t="n">
        <x:v>8</x:v>
      </x:c>
      <x:c r="G72"/>
      <x:c r="H72"/>
      <x:c r="I72" t="str">
        <x:f>IF(OR(D72="",G72="",H72=""),"",IF(COUNTIF($D$11:D72,D72)&gt;1,0,ROUNDUP(MAX(SUMIF($D$11:$D$102,D72,$F$11:$F$102),G72)/H72,0)*H72))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LCSC code open: MPN from family knowledge, not looked up; price/stock unverified</x:v>
      </x:c>
      <x:c r="P72" s="16" t="n">
        <x:v>46300</x:v>
      </x:c>
      <x:c r="Q72" t="str">
        <x:v>2026-10-06</x:v>
      </x:c>
      <x:c r="R72" t="str">
        <x:v>Passive repackage 2026-10-06 (hand-solder policy): was C_0603/C_1206 using CL10A475KO8NNNC, CL31B475KBHNNNE. See reports/passive-repackage-2026-10-06.md. MPN not stock-checked unless an LCSC code with price is shown.</x:v>
      </x:c>
      <x:c r="S72"/>
    </x:row>
    <x:row r="73" ht="36" customHeight="1">
      <x:c r="A73" s="25" t="str">
        <x:v>C122, C123, C124, C125, C164, C170, C171, C172, C173, C174, C192, C193, C212, C220, C221, C222, C224, C225, C230, C231, C232, C233, C234, C235, C239, C240, C241, C245, C282, C283, C284, C295, C296, C297</x:v>
      </x:c>
      <x:c r="B73" s="25" t="str">
        <x:v>1uF / 1uF X7R 10V 0402 hand-solder (C_0402_1005Metric)</x:v>
      </x:c>
      <x:c r="C73" s="25" t="str">
        <x:v>Samsung Electro-Mechanics</x:v>
      </x:c>
      <x:c r="D73" s="25" t="str">
        <x:v>CL05A105KO5NNNC</x:v>
      </x:c>
      <x:c r="E73" s="25" t="str">
        <x:v>C29266</x:v>
      </x:c>
      <x:c r="F73" s="25" t="n">
        <x:v>34</x:v>
      </x:c>
      <x:c r="G73" t="n">
        <x:v>100</x:v>
      </x:c>
      <x:c r="H73" t="n">
        <x:v>100</x:v>
      </x:c>
      <x:c r="I73" t="n">
        <x:f>IF(OR(D73="",G73="",H73=""),"",IF(COUNTIF($D$11:D73,D73)&gt;1,0,ROUNDUP(MAX(SUMIF($D$11:$D$102,D73,$F$11:$F$102),G73)/H73,0)*H73))</x:f>
        <x:v>100</x:v>
      </x:c>
      <x:c r="J73" t="n">
        <x:v>100</x:v>
      </x:c>
      <x:c r="K73" s="26" t="n">
        <x:v>0.0023</x:v>
      </x:c>
      <x:c r="L73" s="27" t="n">
        <x:f>IF(K73="","",ROUND(F73*K73,4))</x:f>
        <x:v>0.0782</x:v>
      </x:c>
      <x:c r="M73" s="27" t="n">
        <x:f>IF(OR(K73="",I73="",N73=""),"",IF(N73&gt;=I73,ROUND(I73*K73,4),""))</x:f>
        <x:v>0.23</x:v>
      </x:c>
      <x:c r="N73" t="n">
        <x:v>4764100</x:v>
      </x:c>
      <x:c r="O73" t="str">
        <x:v>LCSC search 2026-10-06 (price is the quoted tier, stock as listed); re-verify at order</x:v>
      </x:c>
      <x:c r="P73" s="16" t="n">
        <x:v>46300</x:v>
      </x:c>
      <x:c r="Q73" t="str">
        <x:v>2026-10-06</x:v>
      </x:c>
      <x:c r="R73" t="str">
        <x:v>Passive repackage 2026-10-06 (hand-solder policy): was C_0805/C_0603 using CL21B105KBFNNNE, LMK107B7105KA-T, CL10A105KB8NNNC. See reports/passive-repackage-2026-10-06.md. MPN not stock-checked unless an LCSC code with price is shown.</x:v>
      </x:c>
      <x:c r="S73" t="str">
        <x:v>https://www.lcsc.com/product-detail/C29266.html</x:v>
      </x:c>
    </x:row>
    <x:row r="74" ht="36" customHeight="1">
      <x:c r="A74" s="25" t="str">
        <x:v>C285, C286, C287, C288, C298, C299, C300, C301</x:v>
      </x:c>
      <x:c r="B74" s="25" t="str">
        <x:v>0.47uF 0402 hand-solder (C_0402_1005Metric)</x:v>
      </x:c>
      <x:c r="C74" s="25" t="str">
        <x:v>Samsung Electro-Mechanics</x:v>
      </x:c>
      <x:c r="D74" s="25" t="str">
        <x:v>CL05B474KO5NNNC</x:v>
      </x:c>
      <x:c r="E74" s="25"/>
      <x:c r="F74" s="25" t="n">
        <x:v>8</x:v>
      </x:c>
      <x:c r="G74"/>
      <x:c r="H74"/>
      <x:c r="I74" t="str">
        <x:f>IF(OR(D74="",G74="",H74=""),"",IF(COUNTIF($D$11:D74,D74)&gt;1,0,ROUNDUP(MAX(SUMIF($D$11:$D$102,D74,$F$11:$F$102),G74)/H74,0)*H74))</x:f>
      </x:c>
      <x:c r="J74"/>
      <x:c r="K74" s="26"/>
      <x:c r="L74" s="27" t="str">
        <x:f>IF(K74="","",ROUND(F74*K74,4))</x:f>
      </x:c>
      <x:c r="M74" s="27" t="str">
        <x:f>IF(OR(K74="",I74="",N74=""),"",IF(N74&gt;=I74,ROUND(I74*K74,4),""))</x:f>
      </x:c>
      <x:c r="N74"/>
      <x:c r="O74" t="str">
        <x:v>LCSC code open: MPN from family knowledge, not looked up; price/stock unverified</x:v>
      </x:c>
      <x:c r="P74" s="16" t="n">
        <x:v>46300</x:v>
      </x:c>
      <x:c r="Q74" t="str">
        <x:v>2026-10-06</x:v>
      </x:c>
      <x:c r="R74" t="str">
        <x:v>Passive repackage 2026-10-06 (hand-solder policy): was C_0603 using CL10B474KA8NNNC. See reports/passive-repackage-2026-10-06.md. MPN not stock-checked unless an LCSC code with price is shown.</x:v>
      </x:c>
      <x:c r="S74"/>
    </x:row>
    <x:row r="75" ht="36" customHeight="1">
      <x:c r="A75" s="25" t="str">
        <x:v>C302, C303, C304, C305, C306, C307</x:v>
      </x:c>
      <x:c r="B75" s="25" t="str">
        <x:v>0.68uF 50V 0805 hand-solder (C_0805_2012Metric)</x:v>
      </x:c>
      <x:c r="C75" s="25" t="str">
        <x:v>Samsung Electro-Mechanics</x:v>
      </x:c>
      <x:c r="D75" s="25" t="str">
        <x:v>CL21B684KBFVPNE</x:v>
      </x:c>
      <x:c r="E75" s="25" t="str">
        <x:v>C472832</x:v>
      </x:c>
      <x:c r="F75" s="25" t="n">
        <x:v>6</x:v>
      </x:c>
      <x:c r="G75"/>
      <x:c r="H75"/>
      <x:c r="I75" t="str">
        <x:f>IF(OR(D75="",G75="",H75=""),"",IF(COUNTIF($D$11:D75,D75)&gt;1,0,ROUNDUP(MAX(SUMIF($D$11:$D$102,D75,$F$11:$F$102),G75)/H75,0)*H75))</x:f>
      </x:c>
      <x:c r="J75"/>
      <x:c r="K75" s="26"/>
      <x:c r="L75" s="27" t="str">
        <x:f>IF(K75="","",ROUND(F75*K75,4))</x:f>
      </x:c>
      <x:c r="M75" s="27" t="str">
        <x:f>IF(OR(K75="",I75="",N75=""),"",IF(N75&gt;=I75,ROUND(I75*K75,4),""))</x:f>
      </x:c>
      <x:c r="N75"/>
      <x:c r="O75" t="str">
        <x:v>LCSC number from search 2026-10-06; price/stock unverified</x:v>
      </x:c>
      <x:c r="P75" s="16" t="n">
        <x:v>46300</x:v>
      </x:c>
      <x:c r="Q75" t="str">
        <x:v>2026-10-06</x:v>
      </x:c>
      <x:c r="R75" t="str">
        <x:v>Passive repackage 2026-10-06 (hand-solder policy): was C_0805 using CL21B684KBFVPNE. See reports/passive-repackage-2026-10-06.md. Amplifiers sheet, 2026-10-06. Variant suffix per the LCSC listing; confirm voltage/dielectric on the datasheet.</x:v>
      </x:c>
      <x:c r="S75" t="str">
        <x:v>https://www.lcsc.com/product-detail/C472832.html</x:v>
      </x:c>
    </x:row>
    <x:row r="76" ht="36" customHeight="1">
      <x:c r="A76" s="25" t="str">
        <x:v>FB200</x:v>
      </x:c>
      <x:c r="B76" s="25" t="str">
        <x:v>BLM18AG601SN1D 0402 hand-solder (R_0402_1005Metric)</x:v>
      </x:c>
      <x:c r="C76" s="25" t="str">
        <x:v>Murata</x:v>
      </x:c>
      <x:c r="D76" s="25" t="str">
        <x:v>BLM15AG601SN1D</x:v>
      </x:c>
      <x:c r="E76" s="25"/>
      <x:c r="F76" s="25" t="n">
        <x:v>1</x:v>
      </x:c>
      <x:c r="G76"/>
      <x:c r="H76"/>
      <x:c r="I76" t="str">
        <x:f>IF(OR(D76="",G76="",H76=""),"",IF(COUNTIF($D$11:D76,D76)&gt;1,0,ROUNDUP(MAX(SUMIF($D$11:$D$102,D76,$F$11:$F$102),G76)/H76,0)*H76))</x:f>
      </x:c>
      <x:c r="J76"/>
      <x:c r="K76" s="26"/>
      <x:c r="L76" s="27" t="str">
        <x:f>IF(K76="","",ROUND(F76*K76,4))</x:f>
      </x:c>
      <x:c r="M76" s="27" t="str">
        <x:f>IF(OR(K76="",I76="",N76=""),"",IF(N76&gt;=I76,ROUND(I76*K76,4),""))</x:f>
      </x:c>
      <x:c r="N76"/>
      <x:c r="O76" t="str">
        <x:v>LCSC code open: MPN from family knowledge, not looked up; price/stock unverified</x:v>
      </x:c>
      <x:c r="P76" s="16" t="n">
        <x:v>46300</x:v>
      </x:c>
      <x:c r="Q76" t="str">
        <x:v>2026-10-06</x:v>
      </x:c>
      <x:c r="R76" t="str">
        <x:v>Passive repackage 2026-10-06 (hand-solder policy): was R_0603 using BLM18AG601SN1D. See reports/passive-repackage-2026-10-06.md. MPN not stock-checked unless an LCSC code with price is shown.</x:v>
      </x:c>
      <x:c r="S76"/>
    </x:row>
    <x:row r="77" ht="36" customHeight="1">
      <x:c r="A77" s="25" t="str">
        <x:v>R10</x:v>
      </x:c>
      <x:c r="B77" s="25" t="str">
        <x:v>200k 1% 0402 hand-solder (R_0402_1005Metric)</x:v>
      </x:c>
      <x:c r="C77" s="25" t="str">
        <x:v>Yageo</x:v>
      </x:c>
      <x:c r="D77" s="25" t="str">
        <x:v>RC0402FR-07200KL</x:v>
      </x:c>
      <x:c r="E77" s="25"/>
      <x:c r="F77" s="25" t="n">
        <x:v>1</x:v>
      </x:c>
      <x:c r="G77"/>
      <x:c r="H77"/>
      <x:c r="I77" t="str">
        <x:f>IF(OR(D77="",G77="",H77=""),"",IF(COUNTIF($D$11:D77,D77)&gt;1,0,ROUNDUP(MAX(SUMIF($D$11:$D$102,D77,$F$11:$F$102),G77)/H77,0)*H77))</x:f>
      </x:c>
      <x:c r="J77"/>
      <x:c r="K77" s="26"/>
      <x:c r="L77" s="27" t="str">
        <x:f>IF(K77="","",ROUND(F77*K77,4))</x:f>
      </x:c>
      <x:c r="M77" s="27" t="str">
        <x:f>IF(OR(K77="",I77="",N77=""),"",IF(N77&gt;=I77,ROUND(I77*K77,4),""))</x:f>
      </x:c>
      <x:c r="N77"/>
      <x:c r="O77" t="str">
        <x:v>LCSC code open: MPN from family knowledge, not looked up; price/stock unverified</x:v>
      </x:c>
      <x:c r="P77" s="16" t="n">
        <x:v>46300</x:v>
      </x:c>
      <x:c r="Q77" t="str">
        <x:v>2026-10-06</x:v>
      </x:c>
      <x:c r="R77" t="str">
        <x:v>Passive repackage 2026-10-06 (hand-solder policy): was R_0603 using RC0603FR-07200KL. See reports/passive-repackage-2026-10-06.md. MPN not stock-checked unless an LCSC code with price is shown.</x:v>
      </x:c>
      <x:c r="S77"/>
    </x:row>
    <x:row r="78" ht="42" customHeight="1">
      <x:c r="A78" s="21" t="str">
        <x:v>R100</x:v>
      </x:c>
      <x:c r="B78" s="21" t="str">
        <x:v>5.23k 0402 hand-solder (R_0402_1005Metric)</x:v>
      </x:c>
      <x:c r="C78" s="21" t="str">
        <x:v>Yageo</x:v>
      </x:c>
      <x:c r="D78" s="21" t="str">
        <x:v>RC0402FR-075K23L</x:v>
      </x:c>
      <x:c r="E78" s="21"/>
      <x:c r="F78" s="21" t="n">
        <x:v>1</x:v>
      </x:c>
      <x:c r="G78"/>
      <x:c r="H78"/>
      <x:c r="I78" t="str">
        <x:f>IF(OR(D78="",G78="",H78=""),"",IF(COUNTIF($D$11:D78,D78)&gt;1,0,ROUNDUP(MAX(SUMIF($D$11:$D$102,D78,$F$11:$F$102),G78)/H78,0)*H78))</x:f>
      </x:c>
      <x:c r="J78"/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code open: MPN from family knowledge, not looked up; price/stock unverified</x:v>
      </x:c>
      <x:c r="P78" s="16" t="n">
        <x:v>46300</x:v>
      </x:c>
      <x:c r="Q78" t="str">
        <x:v>2026-10-06</x:v>
      </x:c>
      <x:c r="R78" t="str">
        <x:v>Passive repackage 2026-10-06 (hand-solder policy): was R_0603 using 1RC0603F5231. See reports/passive-repackage-2026-10-06.md. MPN not stock-checked unless an LCSC code with price is shown.</x:v>
      </x:c>
      <x:c r="S78"/>
    </x:row>
    <x:row r="79" ht="42" customHeight="1">
      <x:c r="A79" s="21" t="str">
        <x:v>R101</x:v>
      </x:c>
      <x:c r="B79" s="21" t="str">
        <x:v>30.1k 0402 hand-solder (R_0402_1005Metric)</x:v>
      </x:c>
      <x:c r="C79" s="21" t="str">
        <x:v>Yageo</x:v>
      </x:c>
      <x:c r="D79" s="21" t="str">
        <x:v>RC0402FR-0730K1L</x:v>
      </x:c>
      <x:c r="E79" s="21"/>
      <x:c r="F79" s="21" t="n">
        <x:v>1</x:v>
      </x:c>
      <x:c r="G79"/>
      <x:c r="H79"/>
      <x:c r="I79" t="str">
        <x:f>IF(OR(D79="",G79="",H79=""),"",IF(COUNTIF($D$11:D79,D79)&gt;1,0,ROUNDUP(MAX(SUMIF($D$11:$D$102,D79,$F$11:$F$102),G79)/H79,0)*H79))</x:f>
      </x:c>
      <x:c r="J79"/>
      <x:c r="K79" s="26"/>
      <x:c r="L79" s="27" t="str">
        <x:f>IF(K79="","",ROUND(F79*K79,4))</x:f>
      </x:c>
      <x:c r="M79" s="27" t="str">
        <x:f>IF(OR(K79="",I79="",N79=""),"",IF(N79&gt;=I79,ROUND(I79*K79,4),""))</x:f>
      </x:c>
      <x:c r="N79"/>
      <x:c r="O79" t="str">
        <x:v>LCSC code open: MPN from family knowledge, not looked up; price/stock unverified</x:v>
      </x:c>
      <x:c r="P79" s="16" t="n">
        <x:v>46300</x:v>
      </x:c>
      <x:c r="Q79" t="str">
        <x:v>2026-10-06</x:v>
      </x:c>
      <x:c r="R79" t="str">
        <x:v>Passive repackage 2026-10-06 (hand-solder policy): was R_0603 using 1RC0603F3012. See reports/passive-repackage-2026-10-06.md. MPN not stock-checked unless an LCSC code with price is shown.</x:v>
      </x:c>
      <x:c r="S79"/>
    </x:row>
    <x:row r="80" ht="42" customHeight="1">
      <x:c r="A80" s="21" t="str">
        <x:v>R102, R120, R121</x:v>
      </x:c>
      <x:c r="B80" s="21" t="str">
        <x:v>4.7k 0402 hand-solder (R_0402_1005Metric)</x:v>
      </x:c>
      <x:c r="C80" s="21" t="str">
        <x:v>Yageo</x:v>
      </x:c>
      <x:c r="D80" s="21" t="str">
        <x:v>RC0402FR-074K7L</x:v>
      </x:c>
      <x:c r="E80" s="21"/>
      <x:c r="F80" s="21" t="n">
        <x:v>3</x:v>
      </x:c>
      <x:c r="G80"/>
      <x:c r="H80"/>
      <x:c r="I80" t="str">
        <x:f>IF(OR(D80="",G80="",H80=""),"",IF(COUNTIF($D$11:D80,D80)&gt;1,0,ROUNDUP(MAX(SUMIF($D$11:$D$102,D80,$F$11:$F$102),G80)/H80,0)*H80))</x:f>
      </x:c>
      <x:c r="J80"/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LCSC code open: MPN from family knowledge, not looked up; price/stock unverified</x:v>
      </x:c>
      <x:c r="P80" s="16" t="n">
        <x:v>46300</x:v>
      </x:c>
      <x:c r="Q80" t="str">
        <x:v>2026-10-06</x:v>
      </x:c>
      <x:c r="R80" t="str">
        <x:v>Passive repackage 2026-10-06 (hand-solder policy): was R_0603 using RC0603FR-074K7L. See reports/passive-repackage-2026-10-06.md. MPN not stock-checked unless an LCSC code with price is shown.</x:v>
      </x:c>
      <x:c r="S80"/>
    </x:row>
    <x:row r="81" ht="36" customHeight="1">
      <x:c r="A81" t="str">
        <x:v>R108, R124</x:v>
      </x:c>
      <x:c r="B81" t="str">
        <x:v>180k 0402 hand-solder (R_0402_1005Metric)</x:v>
      </x:c>
      <x:c r="C81" t="str">
        <x:v>Yageo</x:v>
      </x:c>
      <x:c r="D81" t="str">
        <x:v>RC0402FR-07180KL</x:v>
      </x:c>
      <x:c r="E81"/>
      <x:c r="F81" t="n">
        <x:v>2</x:v>
      </x:c>
      <x:c r="G81"/>
      <x:c r="H81"/>
      <x:c r="I81" t="str">
        <x:f>IF(OR(D81="",G81="",H81=""),"",IF(COUNTIF($D$11:D81,D81)&gt;1,0,ROUNDUP(MAX(SUMIF($D$11:$D$102,D81,$F$11:$F$102),G81)/H81,0)*H81))</x:f>
      </x:c>
      <x:c r="J81"/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code open: MPN from family knowledge, not looked up; price/stock unverified</x:v>
      </x:c>
      <x:c r="P81" t="n">
        <x:v>46300</x:v>
      </x:c>
      <x:c r="Q81" t="str">
        <x:v>2026-10-06</x:v>
      </x:c>
      <x:c r="R81" t="str">
        <x:v>Passive repackage 2026-10-06 (hand-solder policy): was R_0603 using RC0603FR-07180KL. See reports/passive-repackage-2026-10-06.md. MPN not stock-checked unless an LCSC code with price is shown.</x:v>
      </x:c>
      <x:c r="S81"/>
    </x:row>
    <x:row r="82" ht="54" customHeight="1">
      <x:c r="A82" t="str">
        <x:v>R112, R200, R201, R202, R203, R204, R205</x:v>
      </x:c>
      <x:c r="B82" t="str">
        <x:v>100 / 100R 0402 hand-solder (R_0402_1005Metric)</x:v>
      </x:c>
      <x:c r="C82" t="str">
        <x:v>Yageo</x:v>
      </x:c>
      <x:c r="D82" t="str">
        <x:v>RC0402FR-07100RL</x:v>
      </x:c>
      <x:c r="E82"/>
      <x:c r="F82" t="n">
        <x:v>7</x:v>
      </x:c>
      <x:c r="G82"/>
      <x:c r="H82"/>
      <x:c r="I82" t="str">
        <x:f>IF(OR(D82="",G82="",H82=""),"",IF(COUNTIF($D$11:D82,D82)&gt;1,0,ROUNDUP(MAX(SUMIF($D$11:$D$102,D82,$F$11:$F$102),G82)/H82,0)*H82))</x:f>
      </x:c>
      <x:c r="J82"/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LCSC code open: MPN from family knowledge, not looked up; price/stock unverified</x:v>
      </x:c>
      <x:c r="P82" t="n">
        <x:v>46300</x:v>
      </x:c>
      <x:c r="Q82" t="str">
        <x:v>2026-10-06</x:v>
      </x:c>
      <x:c r="R82" t="str">
        <x:v>Passive repackage 2026-10-06 (hand-solder policy): was R_0603 using RC0603FR-07100RL. See reports/passive-repackage-2026-10-06.md. MPN not stock-checked unless an LCSC code with price is shown.</x:v>
      </x:c>
      <x:c r="S82"/>
    </x:row>
    <x:row r="83" ht="48" customHeight="1">
      <x:c r="A83" t="str">
        <x:v>R122, R232, R233</x:v>
      </x:c>
      <x:c r="B83" t="str">
        <x:v>47k 0402 hand-solder (R_0402_1005Metric)</x:v>
      </x:c>
      <x:c r="C83" t="str">
        <x:v>Yageo</x:v>
      </x:c>
      <x:c r="D83" t="str">
        <x:v>RC0402FR-0747KL</x:v>
      </x:c>
      <x:c r="E83"/>
      <x:c r="F83" t="n">
        <x:v>3</x:v>
      </x:c>
      <x:c r="G83"/>
      <x:c r="H83"/>
      <x:c r="I83" t="str">
        <x:f>IF(OR(D83="",G83="",H83=""),"",IF(COUNTIF($D$11:D83,D83)&gt;1,0,ROUNDUP(MAX(SUMIF($D$11:$D$102,D83,$F$11:$F$102),G83)/H83,0)*H83))</x:f>
      </x:c>
      <x:c r="J83"/>
      <x:c r="K83"/>
      <x:c r="L83" t="str">
        <x:f>IF(K83="","",ROUND(F83*K83,4))</x:f>
      </x:c>
      <x:c r="M83" t="str">
        <x:f>IF(OR(K83="",I83="",N83=""),"",IF(N83&gt;=I83,ROUND(I83*K83,4),""))</x:f>
      </x:c>
      <x:c r="N83"/>
      <x:c r="O83" t="str">
        <x:v>LCSC code open: MPN from family knowledge, not looked up; price/stock unverified</x:v>
      </x:c>
      <x:c r="P83" t="n">
        <x:v>46300</x:v>
      </x:c>
      <x:c r="Q83" t="str">
        <x:v>2026-10-06</x:v>
      </x:c>
      <x:c r="R83" t="str">
        <x:v>Passive repackage 2026-10-06 (hand-solder policy): was R_0603 using RC0603FR-0747KL. See reports/passive-repackage-2026-10-06.md. MPN not stock-checked unless an LCSC code with price is shown.</x:v>
      </x:c>
      <x:c r="S83"/>
    </x:row>
    <x:row r="84" ht="48" customHeight="1">
      <x:c r="A84" t="str">
        <x:v>R126, R127, R174, R241</x:v>
      </x:c>
      <x:c r="B84" t="str">
        <x:v>1M 0402 hand-solder (R_0402_1005Metric)</x:v>
      </x:c>
      <x:c r="C84" t="str">
        <x:v>Yageo</x:v>
      </x:c>
      <x:c r="D84" t="str">
        <x:v>RC0402FR-071ML</x:v>
      </x:c>
      <x:c r="E84"/>
      <x:c r="F84" t="n">
        <x:v>4</x:v>
      </x:c>
      <x:c r="G84"/>
      <x:c r="H84"/>
      <x:c r="I84" t="str">
        <x:f>IF(OR(D84="",G84="",H84=""),"",IF(COUNTIF($D$11:D84,D84)&gt;1,0,ROUNDUP(MAX(SUMIF($D$11:$D$102,D84,$F$11:$F$102),G84)/H84,0)*H84))</x:f>
      </x:c>
      <x:c r="J84"/>
      <x:c r="K84"/>
      <x:c r="L84" t="str">
        <x:f>IF(K84="","",ROUND(F84*K84,4))</x:f>
      </x:c>
      <x:c r="M84" t="str">
        <x:f>IF(OR(K84="",I84="",N84=""),"",IF(N84&gt;=I84,ROUND(I84*K84,4),""))</x:f>
      </x:c>
      <x:c r="N84"/>
      <x:c r="O84" t="str">
        <x:v>LCSC code open: MPN from family knowledge, not looked up; price/stock unverified</x:v>
      </x:c>
      <x:c r="P84" t="n">
        <x:v>46300</x:v>
      </x:c>
      <x:c r="Q84" t="str">
        <x:v>2026-10-06</x:v>
      </x:c>
      <x:c r="R84" t="str">
        <x:v>Passive repackage 2026-10-06 (hand-solder policy): was R_0603 using RC0603FR-071ML. See reports/passive-repackage-2026-10-06.md. MPN not stock-checked unless an LCSC code with price is shown.</x:v>
      </x:c>
      <x:c r="S84"/>
    </x:row>
    <x:row r="85" ht="48" customHeight="1">
      <x:c r="A85" t="str">
        <x:v>R140</x:v>
      </x:c>
      <x:c r="B85" t="str">
        <x:v>78.7k 1% 0402 hand-solder (R_0402_1005Metric)</x:v>
      </x:c>
      <x:c r="C85" t="str">
        <x:v>Yageo</x:v>
      </x:c>
      <x:c r="D85" t="str">
        <x:v>RC0402FR-0778K7L</x:v>
      </x:c>
      <x:c r="E85"/>
      <x:c r="F85" t="n">
        <x:v>1</x:v>
      </x:c>
      <x:c r="G85"/>
      <x:c r="H85"/>
      <x:c r="I85" t="str">
        <x:f>IF(OR(D85="",G85="",H85=""),"",IF(COUNTIF($D$11:D85,D85)&gt;1,0,ROUNDUP(MAX(SUMIF($D$11:$D$102,D85,$F$11:$F$102),G85)/H85,0)*H85))</x:f>
      </x:c>
      <x:c r="J85"/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LCSC code open: MPN from family knowledge, not looked up; price/stock unverified</x:v>
      </x:c>
      <x:c r="P85" t="n">
        <x:v>46300</x:v>
      </x:c>
      <x:c r="Q85" t="str">
        <x:v>2026-10-06</x:v>
      </x:c>
      <x:c r="R85" t="str">
        <x:v>Passive repackage 2026-10-06 (hand-solder policy): was R_0603 using 1RC0603F7872. See reports/passive-repackage-2026-10-06.md. MPN not stock-checked unless an LCSC code with price is shown.</x:v>
      </x:c>
      <x:c r="S85"/>
    </x:row>
    <x:row r="86" ht="54" customHeight="1">
      <x:c r="A86" t="str">
        <x:v>R141</x:v>
      </x:c>
      <x:c r="B86" t="str">
        <x:v>9.1k 1% 0402 hand-solder (R_0402_1005Metric)</x:v>
      </x:c>
      <x:c r="C86" t="str">
        <x:v>Yageo</x:v>
      </x:c>
      <x:c r="D86" t="str">
        <x:v>RC0402FR-079K1L</x:v>
      </x:c>
      <x:c r="E86"/>
      <x:c r="F86" t="n">
        <x:v>1</x:v>
      </x:c>
      <x:c r="G86"/>
      <x:c r="H86"/>
      <x:c r="I86" t="str">
        <x:f>IF(OR(D86="",G86="",H86=""),"",IF(COUNTIF($D$11:D86,D86)&gt;1,0,ROUNDUP(MAX(SUMIF($D$11:$D$102,D86,$F$11:$F$102),G86)/H86,0)*H86))</x:f>
      </x:c>
      <x:c r="J86"/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LCSC code open: MPN from family knowledge, not looked up; price/stock unverified</x:v>
      </x:c>
      <x:c r="P86" t="n">
        <x:v>46300</x:v>
      </x:c>
      <x:c r="Q86" t="str">
        <x:v>2026-10-06</x:v>
      </x:c>
      <x:c r="R86" t="str">
        <x:v>Passive repackage 2026-10-06 (hand-solder policy): was R_0603 using RC0603FR-079K1L. See reports/passive-repackage-2026-10-06.md. MPN not stock-checked unless an LCSC code with price is shown.</x:v>
      </x:c>
      <x:c r="S86"/>
    </x:row>
    <x:row r="87" ht="54" customHeight="1">
      <x:c r="A87" t="str">
        <x:v>R150</x:v>
      </x:c>
      <x:c r="B87" t="str">
        <x:v>604k 1% 0402 hand-solder (R_0402_1005Metric)</x:v>
      </x:c>
      <x:c r="C87" t="str">
        <x:v>Yageo</x:v>
      </x:c>
      <x:c r="D87" t="str">
        <x:v>RC0402FR-07604KL</x:v>
      </x:c>
      <x:c r="E87"/>
      <x:c r="F87" t="n">
        <x:v>1</x:v>
      </x:c>
      <x:c r="G87"/>
      <x:c r="H87"/>
      <x:c r="I87" t="str">
        <x:f>IF(OR(D87="",G87="",H87=""),"",IF(COUNTIF($D$11:D87,D87)&gt;1,0,ROUNDUP(MAX(SUMIF($D$11:$D$102,D87,$F$11:$F$102),G87)/H87,0)*H87))</x:f>
      </x:c>
      <x:c r="J87"/>
      <x:c r="K87"/>
      <x:c r="L87" t="str">
        <x:f>IF(K87="","",ROUND(F87*K87,4))</x:f>
      </x:c>
      <x:c r="M87" t="str">
        <x:f>IF(OR(K87="",I87="",N87=""),"",IF(N87&gt;=I87,ROUND(I87*K87,4),""))</x:f>
      </x:c>
      <x:c r="N87"/>
      <x:c r="O87" t="str">
        <x:v>LCSC code open: MPN from family knowledge, not looked up; price/stock unverified</x:v>
      </x:c>
      <x:c r="P87" t="n">
        <x:v>46300</x:v>
      </x:c>
      <x:c r="Q87" t="str">
        <x:v>2026-10-06</x:v>
      </x:c>
      <x:c r="R87" t="str">
        <x:v>Passive repackage 2026-10-06 (hand-solder policy): was R_0603 using FRC0603F6043TS. See reports/passive-repackage-2026-10-06.md. MPN not stock-checked unless an LCSC code with price is shown.</x:v>
      </x:c>
      <x:c r="S87"/>
    </x:row>
    <x:row r="88">
      <x:c r="A88" t="str">
        <x:v>R151</x:v>
      </x:c>
      <x:c r="B88" t="str">
        <x:v>91k 1% 0402 hand-solder (R_0402_1005Metric)</x:v>
      </x:c>
      <x:c r="C88" t="str">
        <x:v>Yageo</x:v>
      </x:c>
      <x:c r="D88" t="str">
        <x:v>RC0402FR-0791KL</x:v>
      </x:c>
      <x:c r="E88"/>
      <x:c r="F88" t="n">
        <x:v>1</x:v>
      </x:c>
      <x:c r="G88"/>
      <x:c r="H88"/>
      <x:c r="I88" t="str">
        <x:f>IF(OR(D88="",G88="",H88=""),"",IF(COUNTIF($D$11:D88,D88)&gt;1,0,ROUNDUP(MAX(SUMIF($D$11:$D$102,D88,$F$11:$F$102),G88)/H88,0)*H88))</x:f>
      </x:c>
      <x:c r="J88"/>
      <x:c r="K88"/>
      <x:c r="L88" t="str">
        <x:f>IF(K88="","",ROUND(F88*K88,4))</x:f>
      </x:c>
      <x:c r="M88" t="str">
        <x:f>IF(OR(K88="",I88="",N88=""),"",IF(N88&gt;=I88,ROUND(I88*K88,4),""))</x:f>
      </x:c>
      <x:c r="N88"/>
      <x:c r="O88" t="str">
        <x:v>LCSC code open: MPN from family knowledge, not looked up; price/stock unverified</x:v>
      </x:c>
      <x:c r="P88" t="n">
        <x:v>46300</x:v>
      </x:c>
      <x:c r="Q88" t="str">
        <x:v>2026-10-06</x:v>
      </x:c>
      <x:c r="R88" t="str">
        <x:v>Passive repackage 2026-10-06 (hand-solder policy): was R_0603 using AC0603FR-0791KL. See reports/passive-repackage-2026-10-06.md. MPN not stock-checked unless an LCSC code with price is shown.</x:v>
      </x:c>
      <x:c r="S88"/>
    </x:row>
    <x:row r="89">
      <x:c r="A89" t="str">
        <x:v>R170</x:v>
      </x:c>
      <x:c r="B89" t="str">
        <x:v>2.2 0402 hand-solder (R_0402_1005Metric)</x:v>
      </x:c>
      <x:c r="C89" t="str">
        <x:v>Yageo</x:v>
      </x:c>
      <x:c r="D89" t="str">
        <x:v>RC0402FR-072R2L</x:v>
      </x:c>
      <x:c r="E89"/>
      <x:c r="F89" t="n">
        <x:v>1</x:v>
      </x:c>
      <x:c r="G89"/>
      <x:c r="H89"/>
      <x:c r="I89" t="str">
        <x:f>IF(OR(D89="",G89="",H89=""),"",IF(COUNTIF($D$11:D89,D89)&gt;1,0,ROUNDUP(MAX(SUMIF($D$11:$D$102,D89,$F$11:$F$102),G89)/H89,0)*H89))</x:f>
      </x:c>
      <x:c r="J89"/>
      <x:c r="K89"/>
      <x:c r="L89" t="str">
        <x:f>IF(K89="","",ROUND(F89*K89,4))</x:f>
      </x:c>
      <x:c r="M89" t="str">
        <x:f>IF(OR(K89="",I89="",N89=""),"",IF(N89&gt;=I89,ROUND(I89*K89,4),""))</x:f>
      </x:c>
      <x:c r="N89"/>
      <x:c r="O89" t="str">
        <x:v>LCSC code open: MPN from family knowledge, not looked up; price/stock unverified</x:v>
      </x:c>
      <x:c r="P89" t="n">
        <x:v>46300</x:v>
      </x:c>
      <x:c r="Q89" t="str">
        <x:v>2026-10-06</x:v>
      </x:c>
      <x:c r="R89" t="str">
        <x:v>Passive repackage 2026-10-06 (hand-solder policy): was R_0603 using RC0603FR-072R2L. See reports/passive-repackage-2026-10-06.md. MPN not stock-checked unless an LCSC code with price is shown.</x:v>
      </x:c>
      <x:c r="S89"/>
    </x:row>
    <x:row r="90">
      <x:c r="A90" t="str">
        <x:v>R171, R172</x:v>
      </x:c>
      <x:c r="B90" t="str">
        <x:v>22 0402 hand-solder (R_0402_1005Metric)</x:v>
      </x:c>
      <x:c r="C90" t="str">
        <x:v>Yageo</x:v>
      </x:c>
      <x:c r="D90" t="str">
        <x:v>RC0402FR-0722RL</x:v>
      </x:c>
      <x:c r="E90"/>
      <x:c r="F90" t="n">
        <x:v>2</x:v>
      </x:c>
      <x:c r="G90"/>
      <x:c r="H90"/>
      <x:c r="I90" t="str">
        <x:f>IF(OR(D90="",G90="",H90=""),"",IF(COUNTIF($D$11:D90,D90)&gt;1,0,ROUNDUP(MAX(SUMIF($D$11:$D$102,D90,$F$11:$F$102),G90)/H90,0)*H90))</x:f>
      </x:c>
      <x:c r="J90"/>
      <x:c r="K90"/>
      <x:c r="L90" t="str">
        <x:f>IF(K90="","",ROUND(F90*K90,4))</x:f>
      </x:c>
      <x:c r="M90" t="str">
        <x:f>IF(OR(K90="",I90="",N90=""),"",IF(N90&gt;=I90,ROUND(I90*K90,4),""))</x:f>
      </x:c>
      <x:c r="N90"/>
      <x:c r="O90" t="str">
        <x:v>LCSC code open: MPN from family knowledge, not looked up; price/stock unverified</x:v>
      </x:c>
      <x:c r="P90" t="n">
        <x:v>46300</x:v>
      </x:c>
      <x:c r="Q90" t="str">
        <x:v>2026-10-06</x:v>
      </x:c>
      <x:c r="R90" t="str">
        <x:v>Passive repackage 2026-10-06 (hand-solder policy): was R_0603 using RC0603FR-0722RL. See reports/passive-repackage-2026-10-06.md. MPN not stock-checked unless an LCSC code with price is shown.</x:v>
      </x:c>
      <x:c r="S90"/>
    </x:row>
    <x:row r="91">
      <x:c r="A91" t="str">
        <x:v>R173</x:v>
      </x:c>
      <x:c r="B91" t="str">
        <x:v>1.5k 0402 hand-solder (R_0402_1005Metric)</x:v>
      </x:c>
      <x:c r="C91" t="str">
        <x:v>Yageo</x:v>
      </x:c>
      <x:c r="D91" t="str">
        <x:v>RC0402FR-071K5L</x:v>
      </x:c>
      <x:c r="E91" t="str">
        <x:v>C114759</x:v>
      </x:c>
      <x:c r="F91" t="n">
        <x:v>1</x:v>
      </x:c>
      <x:c r="G91"/>
      <x:c r="H91"/>
      <x:c r="I91" t="str">
        <x:f>IF(OR(D91="",G91="",H91=""),"",IF(COUNTIF($D$11:D91,D91)&gt;1,0,ROUNDUP(MAX(SUMIF($D$11:$D$102,D91,$F$11:$F$102),G91)/H91,0)*H91))</x:f>
      </x:c>
      <x:c r="J91"/>
      <x:c r="K91"/>
      <x:c r="L91" t="str">
        <x:f>IF(K91="","",ROUND(F91*K91,4))</x:f>
      </x:c>
      <x:c r="M91" t="str">
        <x:f>IF(OR(K91="",I91="",N91=""),"",IF(N91&gt;=I91,ROUND(I91*K91,4),""))</x:f>
      </x:c>
      <x:c r="N91"/>
      <x:c r="O91" t="str">
        <x:v>LCSC number from family knowledge; unverified; price/stock unverified</x:v>
      </x:c>
      <x:c r="P91" t="n">
        <x:v>46300</x:v>
      </x:c>
      <x:c r="Q91" t="str">
        <x:v>2026-10-06</x:v>
      </x:c>
      <x:c r="R91" t="str">
        <x:v>Passive repackage 2026-10-06 (hand-solder policy): was R_0603 using RC0603FR-071K5L. See reports/passive-repackage-2026-10-06.md. MPN not stock-checked unless an LCSC code with price is shown.</x:v>
      </x:c>
      <x:c r="S91" t="str">
        <x:v>https://www.lcsc.com/product-detail/C114759.html</x:v>
      </x:c>
    </x:row>
    <x:row r="92">
      <x:c r="A92" t="str">
        <x:v>R206, R207, R208</x:v>
      </x:c>
      <x:c r="B92" t="str">
        <x:v>33 0402 hand-solder (R_0402_1005Metric)</x:v>
      </x:c>
      <x:c r="C92" t="str">
        <x:v>Yageo</x:v>
      </x:c>
      <x:c r="D92" t="str">
        <x:v>RC0402FR-0733RL</x:v>
      </x:c>
      <x:c r="E92"/>
      <x:c r="F92" t="n">
        <x:v>3</x:v>
      </x:c>
      <x:c r="G92"/>
      <x:c r="H92"/>
      <x:c r="I92" t="str">
        <x:f>IF(OR(D92="",G92="",H92=""),"",IF(COUNTIF($D$11:D92,D92)&gt;1,0,ROUNDUP(MAX(SUMIF($D$11:$D$102,D92,$F$11:$F$102),G92)/H92,0)*H92))</x:f>
      </x:c>
      <x:c r="J92"/>
      <x:c r="K92"/>
      <x:c r="L92" t="str">
        <x:f>IF(K92="","",ROUND(F92*K92,4))</x:f>
      </x:c>
      <x:c r="M92" t="str">
        <x:f>IF(OR(K92="",I92="",N92=""),"",IF(N92&gt;=I92,ROUND(I92*K92,4),""))</x:f>
      </x:c>
      <x:c r="N92"/>
      <x:c r="O92" t="str">
        <x:v>LCSC code open: MPN from family knowledge, not looked up; price/stock unverified</x:v>
      </x:c>
      <x:c r="P92" t="n">
        <x:v>46300</x:v>
      </x:c>
      <x:c r="Q92" t="str">
        <x:v>2026-10-06</x:v>
      </x:c>
      <x:c r="R92" t="str">
        <x:v>Passive repackage 2026-10-06 (hand-solder policy): was R_0603 using RC0603FR-0733RL. See reports/passive-repackage-2026-10-06.md. MPN not stock-checked unless an LCSC code with price is shown.</x:v>
      </x:c>
      <x:c r="S92"/>
    </x:row>
    <x:row r="93">
      <x:c r="A93" t="str">
        <x:v>R209, R210</x:v>
      </x:c>
      <x:c r="B93" t="str">
        <x:v>2.2k 0402 hand-solder (R_0402_1005Metric)</x:v>
      </x:c>
      <x:c r="C93" t="str">
        <x:v>Yageo</x:v>
      </x:c>
      <x:c r="D93" t="str">
        <x:v>RC0402FR-072K2L</x:v>
      </x:c>
      <x:c r="E93"/>
      <x:c r="F93" t="n">
        <x:v>2</x:v>
      </x:c>
      <x:c r="G93"/>
      <x:c r="H93"/>
      <x:c r="I93" t="str">
        <x:f>IF(OR(D93="",G93="",H93=""),"",IF(COUNTIF($D$11:D93,D93)&gt;1,0,ROUNDUP(MAX(SUMIF($D$11:$D$102,D93,$F$11:$F$102),G93)/H93,0)*H93))</x:f>
      </x:c>
      <x:c r="J93"/>
      <x:c r="K93"/>
      <x:c r="L93" t="str">
        <x:f>IF(K93="","",ROUND(F93*K93,4))</x:f>
      </x:c>
      <x:c r="M93" t="str">
        <x:f>IF(OR(K93="",I93="",N93=""),"",IF(N93&gt;=I93,ROUND(I93*K93,4),""))</x:f>
      </x:c>
      <x:c r="N93"/>
      <x:c r="O93" t="str">
        <x:v>LCSC code open: MPN from family knowledge, not looked up; price/stock unverified</x:v>
      </x:c>
      <x:c r="P93" t="n">
        <x:v>46300</x:v>
      </x:c>
      <x:c r="Q93" t="str">
        <x:v>2026-10-06</x:v>
      </x:c>
      <x:c r="R93" t="str">
        <x:v>Passive repackage 2026-10-06 (hand-solder policy): was R_0603 using RC0603FR-072K2L. See reports/passive-repackage-2026-10-06.md. MPN not stock-checked unless an LCSC code with price is shown.</x:v>
      </x:c>
      <x:c r="S93"/>
    </x:row>
    <x:row r="94">
      <x:c r="A94" t="str">
        <x:v>R250</x:v>
      </x:c>
      <x:c r="B94" t="str">
        <x:v>499k 0402 hand-solder (R_0402_1005Metric)</x:v>
      </x:c>
      <x:c r="C94" t="str">
        <x:v>Yageo</x:v>
      </x:c>
      <x:c r="D94" t="str">
        <x:v>RC0402FR-07499KL</x:v>
      </x:c>
      <x:c r="E94"/>
      <x:c r="F94" t="n">
        <x:v>1</x:v>
      </x:c>
      <x:c r="G94"/>
      <x:c r="H94"/>
      <x:c r="I94" t="str">
        <x:f>IF(OR(D94="",G94="",H94=""),"",IF(COUNTIF($D$11:D94,D94)&gt;1,0,ROUNDUP(MAX(SUMIF($D$11:$D$102,D94,$F$11:$F$102),G94)/H94,0)*H94))</x:f>
      </x:c>
      <x:c r="J94"/>
      <x:c r="K94"/>
      <x:c r="L94" t="str">
        <x:f>IF(K94="","",ROUND(F94*K94,4))</x:f>
      </x:c>
      <x:c r="M94" t="str">
        <x:f>IF(OR(K94="",I94="",N94=""),"",IF(N94&gt;=I94,ROUND(I94*K94,4),""))</x:f>
      </x:c>
      <x:c r="N94"/>
      <x:c r="O94" t="str">
        <x:v>LCSC code open: MPN from family knowledge, not looked up; price/stock unverified</x:v>
      </x:c>
      <x:c r="P94" t="n">
        <x:v>46300</x:v>
      </x:c>
      <x:c r="Q94" t="str">
        <x:v>2026-10-06</x:v>
      </x:c>
      <x:c r="R94" t="str">
        <x:v>Passive repackage 2026-10-06 (hand-solder policy): was R_0603 using RC0603FR-07499KL. See reports/passive-repackage-2026-10-06.md. MPN not stock-checked unless an LCSC code with price is shown.</x:v>
      </x:c>
      <x:c r="S94"/>
    </x:row>
    <x:row r="95">
      <x:c r="A95" t="str">
        <x:v>R251</x:v>
      </x:c>
      <x:c r="B95" t="str">
        <x:v>56k 0402 hand-solder (R_0402_1005Metric)</x:v>
      </x:c>
      <x:c r="C95" t="str">
        <x:v>Yageo</x:v>
      </x:c>
      <x:c r="D95" t="str">
        <x:v>RC0402FR-0756KL</x:v>
      </x:c>
      <x:c r="E95"/>
      <x:c r="F95" t="n">
        <x:v>1</x:v>
      </x:c>
      <x:c r="G95"/>
      <x:c r="H95"/>
      <x:c r="I95" t="str">
        <x:f>IF(OR(D95="",G95="",H95=""),"",IF(COUNTIF($D$11:D95,D95)&gt;1,0,ROUNDUP(MAX(SUMIF($D$11:$D$102,D95,$F$11:$F$102),G95)/H95,0)*H95))</x:f>
      </x:c>
      <x:c r="J95"/>
      <x:c r="K95"/>
      <x:c r="L95" t="str">
        <x:f>IF(K95="","",ROUND(F95*K95,4))</x:f>
      </x:c>
      <x:c r="M95" t="str">
        <x:f>IF(OR(K95="",I95="",N95=""),"",IF(N95&gt;=I95,ROUND(I95*K95,4),""))</x:f>
      </x:c>
      <x:c r="N95"/>
      <x:c r="O95" t="str">
        <x:v>LCSC code open: MPN from family knowledge, not looked up; price/stock unverified</x:v>
      </x:c>
      <x:c r="P95" t="n">
        <x:v>46300</x:v>
      </x:c>
      <x:c r="Q95" t="str">
        <x:v>2026-10-06</x:v>
      </x:c>
      <x:c r="R95" t="str">
        <x:v>Passive repackage 2026-10-06 (hand-solder policy): was R_0603 using RC0603FR-0756KL. See reports/passive-repackage-2026-10-06.md. MPN not stock-checked unless an LCSC code with price is shown.</x:v>
      </x:c>
      <x:c r="S95"/>
    </x:row>
    <x:row r="96">
      <x:c r="A96" t="str">
        <x:v>R252</x:v>
      </x:c>
      <x:c r="B96" t="str">
        <x:v>301k 0402 hand-solder (R_0402_1005Metric)</x:v>
      </x:c>
      <x:c r="C96" t="str">
        <x:v>Yageo</x:v>
      </x:c>
      <x:c r="D96" t="str">
        <x:v>RC0402FR-07301KL</x:v>
      </x:c>
      <x:c r="E96"/>
      <x:c r="F96" t="n">
        <x:v>1</x:v>
      </x:c>
      <x:c r="G96"/>
      <x:c r="H96"/>
      <x:c r="I96" t="str">
        <x:f>IF(OR(D96="",G96="",H96=""),"",IF(COUNTIF($D$11:D96,D96)&gt;1,0,ROUNDUP(MAX(SUMIF($D$11:$D$102,D96,$F$11:$F$102),G96)/H96,0)*H96))</x:f>
      </x:c>
      <x:c r="J96"/>
      <x:c r="K96"/>
      <x:c r="L96" t="str">
        <x:f>IF(K96="","",ROUND(F96*K96,4))</x:f>
      </x:c>
      <x:c r="M96" t="str">
        <x:f>IF(OR(K96="",I96="",N96=""),"",IF(N96&gt;=I96,ROUND(I96*K96,4),""))</x:f>
      </x:c>
      <x:c r="N96"/>
      <x:c r="O96" t="str">
        <x:v>LCSC code open: MPN from family knowledge, not looked up; price/stock unverified</x:v>
      </x:c>
      <x:c r="P96" t="n">
        <x:v>46300</x:v>
      </x:c>
      <x:c r="Q96" t="str">
        <x:v>2026-10-06</x:v>
      </x:c>
      <x:c r="R96" t="str">
        <x:v>Passive repackage 2026-10-06 (hand-solder policy): was R_0603 using RC0603FR-07301KL. See reports/passive-repackage-2026-10-06.md. MPN not stock-checked unless an LCSC code with price is shown.</x:v>
      </x:c>
      <x:c r="S96"/>
    </x:row>
    <x:row r="97">
      <x:c r="A97" t="str">
        <x:v>R253</x:v>
      </x:c>
      <x:c r="B97" t="str">
        <x:v>150k 0402 hand-solder (R_0402_1005Metric)</x:v>
      </x:c>
      <x:c r="C97" t="str">
        <x:v>Yageo</x:v>
      </x:c>
      <x:c r="D97" t="str">
        <x:v>RC0402FR-07150KL</x:v>
      </x:c>
      <x:c r="E97"/>
      <x:c r="F97" t="n">
        <x:v>1</x:v>
      </x:c>
      <x:c r="G97"/>
      <x:c r="H97"/>
      <x:c r="I97" t="str">
        <x:f>IF(OR(D97="",G97="",H97=""),"",IF(COUNTIF($D$11:D97,D97)&gt;1,0,ROUNDUP(MAX(SUMIF($D$11:$D$102,D97,$F$11:$F$102),G97)/H97,0)*H97))</x:f>
      </x:c>
      <x:c r="J97"/>
      <x:c r="K97"/>
      <x:c r="L97" t="str">
        <x:f>IF(K97="","",ROUND(F97*K97,4))</x:f>
      </x:c>
      <x:c r="M97" t="str">
        <x:f>IF(OR(K97="",I97="",N97=""),"",IF(N97&gt;=I97,ROUND(I97*K97,4),""))</x:f>
      </x:c>
      <x:c r="N97"/>
      <x:c r="O97" t="str">
        <x:v>LCSC code open: MPN from family knowledge, not looked up; price/stock unverified</x:v>
      </x:c>
      <x:c r="P97" t="n">
        <x:v>46300</x:v>
      </x:c>
      <x:c r="Q97" t="str">
        <x:v>2026-10-06</x:v>
      </x:c>
      <x:c r="R97" t="str">
        <x:v>Passive repackage 2026-10-06 (hand-solder policy): was R_0603 using RC0603FR-07150KL. See reports/passive-repackage-2026-10-06.md. MPN not stock-checked unless an LCSC code with price is shown.</x:v>
      </x:c>
      <x:c r="S97"/>
    </x:row>
    <x:row r="98">
      <x:c r="A98" t="str">
        <x:v>R254</x:v>
      </x:c>
      <x:c r="B98" t="str">
        <x:v>82k 0402 hand-solder (R_0402_1005Metric)</x:v>
      </x:c>
      <x:c r="C98" t="str">
        <x:v>Yageo</x:v>
      </x:c>
      <x:c r="D98" t="str">
        <x:v>RC0402FR-0782KL</x:v>
      </x:c>
      <x:c r="E98"/>
      <x:c r="F98" t="n">
        <x:v>1</x:v>
      </x:c>
      <x:c r="G98"/>
      <x:c r="H98"/>
      <x:c r="I98" t="str">
        <x:f>IF(OR(D98="",G98="",H98=""),"",IF(COUNTIF($D$11:D98,D98)&gt;1,0,ROUNDUP(MAX(SUMIF($D$11:$D$102,D98,$F$11:$F$102),G98)/H98,0)*H98))</x:f>
      </x:c>
      <x:c r="J98"/>
      <x:c r="K98"/>
      <x:c r="L98" t="str">
        <x:f>IF(K98="","",ROUND(F98*K98,4))</x:f>
      </x:c>
      <x:c r="M98" t="str">
        <x:f>IF(OR(K98="",I98="",N98=""),"",IF(N98&gt;=I98,ROUND(I98*K98,4),""))</x:f>
      </x:c>
      <x:c r="N98"/>
      <x:c r="O98" t="str">
        <x:v>LCSC code open: MPN from family knowledge, not looked up; price/stock unverified</x:v>
      </x:c>
      <x:c r="P98" t="n">
        <x:v>46300</x:v>
      </x:c>
      <x:c r="Q98" t="str">
        <x:v>2026-10-06</x:v>
      </x:c>
      <x:c r="R98" t="str">
        <x:v>Passive repackage 2026-10-06 (hand-solder policy): was R_0603 using RC0603FR-0782KL. See reports/passive-repackage-2026-10-06.md. MPN not stock-checked unless an LCSC code with price is shown.</x:v>
      </x:c>
      <x:c r="S98"/>
    </x:row>
    <x:row r="99">
      <x:c r="A99" t="str">
        <x:v>R12, R16, R17, R103, R107, R109, R110, R111, R113, R125, R142, R152, R153, R154, R160, R175, R176, R180, R181, R184, R211, R212, R220, R221, R222, R223, R224, R225, R234, R235, R236, R237, R238, R239, R255, R259</x:v>
      </x:c>
      <x:c r="B99" t="str">
        <x:v>100k / 100k 1% 0402 hand-solder (R_0402_1005Metric)</x:v>
      </x:c>
      <x:c r="C99" t="str">
        <x:v>Yageo</x:v>
      </x:c>
      <x:c r="D99" t="str">
        <x:v>RC0402FR-07100KL</x:v>
      </x:c>
      <x:c r="E99" t="str">
        <x:v>C60491</x:v>
      </x:c>
      <x:c r="F99" t="n">
        <x:v>36</x:v>
      </x:c>
      <x:c r="G99" t="n">
        <x:v>100</x:v>
      </x:c>
      <x:c r="H99" t="n">
        <x:v>100</x:v>
      </x:c>
      <x:c r="I99" t="n">
        <x:f>IF(OR(D99="",G99="",H99=""),"",IF(COUNTIF($D$11:D99,D99)&gt;1,0,ROUNDUP(MAX(SUMIF($D$11:$D$102,D99,$F$11:$F$102),G99)/H99,0)*H99))</x:f>
        <x:v>100</x:v>
      </x:c>
      <x:c r="J99" t="n">
        <x:v>100</x:v>
      </x:c>
      <x:c r="K99" t="n">
        <x:v>0.001</x:v>
      </x:c>
      <x:c r="L99" t="n">
        <x:f>IF(K99="","",ROUND(F99*K99,4))</x:f>
        <x:v>0.036</x:v>
      </x:c>
      <x:c r="M99" t="n">
        <x:f>IF(OR(K99="",I99="",N99=""),"",IF(N99&gt;=I99,ROUND(I99*K99,4),""))</x:f>
        <x:v>0.1</x:v>
      </x:c>
      <x:c r="N99" t="n">
        <x:v>726500</x:v>
      </x:c>
      <x:c r="O99" t="str">
        <x:v>LCSC search 2026-10-06 (price is the quoted tier, stock as listed); re-verify at order</x:v>
      </x:c>
      <x:c r="P99" t="n">
        <x:v>46300</x:v>
      </x:c>
      <x:c r="Q99" t="str">
        <x:v>2026-10-06</x:v>
      </x:c>
      <x:c r="R99" t="str">
        <x:v>Passive repackage 2026-10-06 (hand-solder policy): was R_0603 using RC0603FR-07100KL. See reports/passive-repackage-2026-10-06.md. MPN not stock-checked unless an LCSC code with price is shown.</x:v>
      </x:c>
      <x:c r="S99" t="str">
        <x:v>https://www.lcsc.com/product-detail/C60491.html</x:v>
      </x:c>
    </x:row>
    <x:row r="100">
      <x:c r="A100" t="str">
        <x:v>R260 (R256 DNP)</x:v>
      </x:c>
      <x:c r="B100" t="str">
        <x:v>0R / 0R DNP 0402 hand-solder (R_0402_1005Metric)</x:v>
      </x:c>
      <x:c r="C100" t="str">
        <x:v>Yageo</x:v>
      </x:c>
      <x:c r="D100" t="str">
        <x:v>RC0402FR-070RL</x:v>
      </x:c>
      <x:c r="E100"/>
      <x:c r="F100" t="n">
        <x:v>1</x:v>
      </x:c>
      <x:c r="G100"/>
      <x:c r="H100"/>
      <x:c r="I100" t="str">
        <x:f>IF(OR(D100="",G100="",H100=""),"",IF(COUNTIF($D$11:D100,D100)&gt;1,0,ROUNDUP(MAX(SUMIF($D$11:$D$102,D100,$F$11:$F$102),G100)/H100,0)*H100))</x:f>
      </x:c>
      <x:c r="J100"/>
      <x:c r="K100"/>
      <x:c r="L100" t="str">
        <x:f>IF(K100="","",ROUND(F100*K100,4))</x:f>
      </x:c>
      <x:c r="M100" t="str">
        <x:f>IF(OR(K100="",I100="",N100=""),"",IF(N100&gt;=I100,ROUND(I100*K100,4),""))</x:f>
      </x:c>
      <x:c r="N100"/>
      <x:c r="O100" t="str">
        <x:v>LCSC code open: MPN from family knowledge, not looked up; price/stock unverified</x:v>
      </x:c>
      <x:c r="P100" t="n">
        <x:v>46300</x:v>
      </x:c>
      <x:c r="Q100" t="str">
        <x:v>2026-10-06</x:v>
      </x:c>
      <x:c r="R100" t="str">
        <x:v>Passive repackage 2026-10-06 (hand-solder policy): was R_0603 using RC0603FR-070RL. See reports/passive-repackage-2026-10-06.md. MPN not stock-checked unless an LCSC code with price is shown.</x:v>
      </x:c>
      <x:c r="S100"/>
    </x:row>
    <x:row r="101">
      <x:c r="A101" t="str">
        <x:v>R185, R186, R187, R226, R227, R228, R229, R230, R231, R240, R257, R258, R261</x:v>
      </x:c>
      <x:c r="B101" t="str">
        <x:v>1k 0402 hand-solder (R_0402_1005Metric)</x:v>
      </x:c>
      <x:c r="C101" t="str">
        <x:v>Yageo</x:v>
      </x:c>
      <x:c r="D101" t="str">
        <x:v>RC0402FR-071KL</x:v>
      </x:c>
      <x:c r="E101"/>
      <x:c r="F101" t="n">
        <x:v>13</x:v>
      </x:c>
      <x:c r="G101"/>
      <x:c r="H101"/>
      <x:c r="I101" t="str">
        <x:f>IF(OR(D101="",G101="",H101=""),"",IF(COUNTIF($D$11:D101,D101)&gt;1,0,ROUNDUP(MAX(SUMIF($D$11:$D$102,D101,$F$11:$F$102),G101)/H101,0)*H101))</x:f>
      </x:c>
      <x:c r="J101"/>
      <x:c r="K101"/>
      <x:c r="L101" t="str">
        <x:f>IF(K101="","",ROUND(F101*K101,4))</x:f>
      </x:c>
      <x:c r="M101" t="str">
        <x:f>IF(OR(K101="",I101="",N101=""),"",IF(N101&gt;=I101,ROUND(I101*K101,4),""))</x:f>
      </x:c>
      <x:c r="N101"/>
      <x:c r="O101" t="str">
        <x:v>LCSC code open: MPN from family knowledge, not looked up; price/stock unverified</x:v>
      </x:c>
      <x:c r="P101" t="n">
        <x:v>46300</x:v>
      </x:c>
      <x:c r="Q101" t="str">
        <x:v>2026-10-06</x:v>
      </x:c>
      <x:c r="R101" t="str">
        <x:v>Passive repackage 2026-10-06 (hand-solder policy): was R_0603 using RC0603FR-071KL. See reports/passive-repackage-2026-10-06.md. MPN not stock-checked unless an LCSC code with price is shown.</x:v>
      </x:c>
      <x:c r="S101"/>
    </x:row>
    <x:row r="102">
      <x:c r="A102" t="str">
        <x:v>R11, R13, R14, R15, R18, R106, R182, R183, R242, R243, R244, R262</x:v>
      </x:c>
      <x:c r="B102" t="str">
        <x:v>10k / 10k 1% 0402 hand-solder (R_0402_1005Metric)</x:v>
      </x:c>
      <x:c r="C102" t="str">
        <x:v>Yageo</x:v>
      </x:c>
      <x:c r="D102" t="str">
        <x:v>RC0402FR-0710KL</x:v>
      </x:c>
      <x:c r="E102" t="str">
        <x:v>C60490</x:v>
      </x:c>
      <x:c r="F102" t="n">
        <x:v>12</x:v>
      </x:c>
      <x:c r="G102" t="n">
        <x:v>100</x:v>
      </x:c>
      <x:c r="H102" t="n">
        <x:v>100</x:v>
      </x:c>
      <x:c r="I102" t="n">
        <x:f>IF(OR(D102="",G102="",H102=""),"",IF(COUNTIF($D$11:D102,D102)&gt;1,0,ROUNDUP(MAX(SUMIF($D$11:$D$102,D102,$F$11:$F$102),G102)/H102,0)*H102))</x:f>
        <x:v>100</x:v>
      </x:c>
      <x:c r="J102" t="n">
        <x:v>100</x:v>
      </x:c>
      <x:c r="K102" t="n">
        <x:v>0.0005</x:v>
      </x:c>
      <x:c r="L102" t="n">
        <x:f>IF(K102="","",ROUND(F102*K102,4))</x:f>
        <x:v>0.006</x:v>
      </x:c>
      <x:c r="M102" t="n">
        <x:f>IF(OR(K102="",I102="",N102=""),"",IF(N102&gt;=I102,ROUND(I102*K102,4),""))</x:f>
        <x:v>0.05</x:v>
      </x:c>
      <x:c r="N102" t="n">
        <x:v>5338600</x:v>
      </x:c>
      <x:c r="O102" t="str">
        <x:v>LCSC search 2026-10-06 (price is the quoted tier, stock as listed); re-verify at order</x:v>
      </x:c>
      <x:c r="P102" t="n">
        <x:v>46300</x:v>
      </x:c>
      <x:c r="Q102" t="str">
        <x:v>2026-10-06</x:v>
      </x:c>
      <x:c r="R102" t="str">
        <x:v>Passive repackage 2026-10-06 (hand-solder policy): was R_0603 using RC0603FR-0710KL. See reports/passive-repackage-2026-10-06.md. MPN not stock-checked unless an LCSC code with price is shown.</x:v>
      </x:c>
      <x:c r="S102" t="str">
        <x:v>https://www.lcsc.com/product-detail/C60490.html</x:v>
      </x:c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