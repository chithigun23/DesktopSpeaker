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2621607c0144a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f99eb1f3366647af"/>
    <x:sheet xmlns:r="http://schemas.openxmlformats.org/officeDocument/2006/relationships" name="Open selections" sheetId="2" r:id="R45b8aee9a936483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333bb36b354f61" /><Relationship Type="http://schemas.openxmlformats.org/officeDocument/2006/relationships/theme" Target="/xl/theme/theme1.xml" Id="R386b840927124407" /><Relationship Type="http://schemas.openxmlformats.org/officeDocument/2006/relationships/sharedStrings" Target="/xl/sharedStrings.xml" Id="Re6d15826e78a4321" /><Relationship Type="http://schemas.openxmlformats.org/officeDocument/2006/relationships/worksheet" Target="/xl/worksheets/sheet1.xml" Id="Rf99eb1f3366647af" /><Relationship Type="http://schemas.openxmlformats.org/officeDocument/2006/relationships/worksheet" Target="/xl/worksheets/sheet2.xml" Id="R45b8aee9a936483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ROUND(SUM(L11:L83),2)</x:f>
        <x:v>69.46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ROUND(SUM(M11:M83),2)</x:f>
        <x:v>85.75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IF(OR(D11="",G11="",H11=""),"",IF(COUNTIF($D$11:D11,D11)&gt;1,0,ROUNDUP(MAX(SUMIF($D$11:$D$83,D11,$F$11:$F$83),G11)/H11,0)*H11))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IF(OR(D12="",G12="",H12=""),"",IF(COUNTIF($D$11:D12,D12)&gt;1,0,ROUNDUP(MAX(SUMIF($D$11:$D$83,D12,$F$11:$F$83),G12)/H12,0)*H12))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IF(OR(D13="",G13="",H13=""),"",IF(COUNTIF($D$11:D13,D13)&gt;1,0,ROUNDUP(MAX(SUMIF($D$11:$D$83,D13,$F$11:$F$83),G13)/H13,0)*H13))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IF(OR(D14="",G14="",H14=""),"",IF(COUNTIF($D$11:D14,D14)&gt;1,0,ROUNDUP(MAX(SUMIF($D$11:$D$83,D14,$F$11:$F$83),G14)/H14,0)*H14))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IF(OR(D15="",G15="",H15=""),"",IF(COUNTIF($D$11:D15,D15)&gt;1,0,ROUNDUP(MAX(SUMIF($D$11:$D$83,D15,$F$11:$F$83),G15)/H15,0)*H15))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IF(OR(D16="",G16="",H16=""),"",IF(COUNTIF($D$11:D16,D16)&gt;1,0,ROUNDUP(MAX(SUMIF($D$11:$D$83,D16,$F$11:$F$83),G16)/H16,0)*H16))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IF(OR(D17="",G17="",H17=""),"",IF(COUNTIF($D$11:D17,D17)&gt;1,0,ROUNDUP(MAX(SUMIF($D$11:$D$83,D17,$F$11:$F$83),G17)/H17,0)*H17))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IF(OR(D18="",G18="",H18=""),"",IF(COUNTIF($D$11:D18,D18)&gt;1,0,ROUNDUP(MAX(SUMIF($D$11:$D$83,D18,$F$11:$F$83),G18)/H18,0)*H18))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IF(OR(D19="",G19="",H19=""),"",IF(COUNTIF($D$11:D19,D19)&gt;1,0,ROUNDUP(MAX(SUMIF($D$11:$D$83,D19,$F$11:$F$83),G19)/H19,0)*H19))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IF(OR(D20="",G20="",H20=""),"",IF(COUNTIF($D$11:D20,D20)&gt;1,0,ROUNDUP(MAX(SUMIF($D$11:$D$83,D20,$F$11:$F$83),G20)/H20,0)*H20))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IF(OR(D21="",G21="",H21=""),"",IF(COUNTIF($D$11:D21,D21)&gt;1,0,ROUNDUP(MAX(SUMIF($D$11:$D$83,D21,$F$11:$F$83),G21)/H21,0)*H21))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IF(OR(D22="",G22="",H22=""),"",IF(COUNTIF($D$11:D22,D22)&gt;1,0,ROUNDUP(MAX(SUMIF($D$11:$D$83,D22,$F$11:$F$83),G22)/H22,0)*H22))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IF(OR(D23="",G23="",H23=""),"",IF(COUNTIF($D$11:D23,D23)&gt;1,0,ROUNDUP(MAX(SUMIF($D$11:$D$83,D23,$F$11:$F$83),G23)/H23,0)*H23))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IF(OR(D24="",G24="",H24=""),"",IF(COUNTIF($D$11:D24,D24)&gt;1,0,ROUNDUP(MAX(SUMIF($D$11:$D$83,D24,$F$11:$F$83),G24)/H24,0)*H24))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IF(OR(D25="",G25="",H25=""),"",IF(COUNTIF($D$11:D25,D25)&gt;1,0,ROUNDUP(MAX(SUMIF($D$11:$D$83,D25,$F$11:$F$83),G25)/H25,0)*H25))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IF(OR(D26="",G26="",H26=""),"",IF(COUNTIF($D$11:D26,D26)&gt;1,0,ROUNDUP(MAX(SUMIF($D$11:$D$83,D26,$F$11:$F$83),G26)/H26,0)*H26))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IF(OR(D27="",G27="",H27=""),"",IF(COUNTIF($D$11:D27,D27)&gt;1,0,ROUNDUP(MAX(SUMIF($D$11:$D$83,D27,$F$11:$F$83),G27)/H27,0)*H27))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IF(OR(D28="",G28="",H28=""),"",IF(COUNTIF($D$11:D28,D28)&gt;1,0,ROUNDUP(MAX(SUMIF($D$11:$D$83,D28,$F$11:$F$83),G28)/H28,0)*H28))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IF(OR(D29="",G29="",H29=""),"",IF(COUNTIF($D$11:D29,D29)&gt;1,0,ROUNDUP(MAX(SUMIF($D$11:$D$83,D29,$F$11:$F$83),G29)/H29,0)*H29))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IF(OR(D30="",G30="",H30=""),"",IF(COUNTIF($D$11:D30,D30)&gt;1,0,ROUNDUP(MAX(SUMIF($D$11:$D$83,D30,$F$11:$F$83),G30)/H30,0)*H30))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IF(OR(D31="",G31="",H31=""),"",IF(COUNTIF($D$11:D31,D31)&gt;1,0,ROUNDUP(MAX(SUMIF($D$11:$D$83,D31,$F$11:$F$83),G31)/H31,0)*H31))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IF(OR(D32="",G32="",H32=""),"",IF(COUNTIF($D$11:D32,D32)&gt;1,0,ROUNDUP(MAX(SUMIF($D$11:$D$83,D32,$F$11:$F$83),G32)/H32,0)*H32))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C184, C170, C171, C172, C173, C174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6</x:v>
      </x:c>
      <x:c r="G33" t="n">
        <x:v>10</x:v>
      </x:c>
      <x:c r="H33" t="n">
        <x:v>10</x:v>
      </x:c>
      <x:c r="I33" t="n">
        <x:f>IF(OR(D33="",G33="",H33=""),"",IF(COUNTIF($D$11:D33,D33)&gt;1,0,ROUNDUP(MAX(SUMIF($D$11:$D$83,D33,$F$11:$F$83),G33)/H33,0)*H33))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0.2418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C5, C186, C187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3</x:v>
      </x:c>
      <x:c r="G34" t="n">
        <x:v>10</x:v>
      </x:c>
      <x:c r="H34" t="n">
        <x:v>10</x:v>
      </x:c>
      <x:c r="I34" t="n">
        <x:f>IF(OR(D34="",G34="",H34=""),"",IF(COUNTIF($D$11:D34,D34)&gt;1,0,ROUNDUP(MAX(SUMIF($D$11:$D$83,D34,$F$11:$F$83),G34)/H34,0)*H34))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0.2277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</x:v>
      </x:c>
      <x:c r="C35" s="25" t="str">
        <x:v>YAGEO</x:v>
      </x:c>
      <x:c r="D35" s="25" t="str">
        <x:v>RC0603FR-07200KL</x:v>
      </x:c>
      <x:c r="E35" s="25" t="str">
        <x:v>C105604</x:v>
      </x:c>
      <x:c r="F35" s="25" t="n">
        <x:v>1</x:v>
      </x:c>
      <x:c r="G35" t="n">
        <x:v>100</x:v>
      </x:c>
      <x:c r="H35" t="n">
        <x:v>100</x:v>
      </x:c>
      <x:c r="I35" t="n">
        <x:f>IF(OR(D35="",G35="",H35=""),"",IF(COUNTIF($D$11:D35,D35)&gt;1,0,ROUNDUP(MAX(SUMIF($D$11:$D$83,D35,$F$11:$F$83),G35)/H35,0)*H35))</x:f>
        <x:v>100</x:v>
      </x:c>
      <x:c r="J35" t="n">
        <x:v>100</x:v>
      </x:c>
      <x:c r="K35" s="26" t="n">
        <x:v>0.0024</x:v>
      </x:c>
      <x:c r="L35" s="27" t="n">
        <x:f>IF(K35="","",ROUND(F35*K35,4))</x:f>
        <x:v>0.0024</x:v>
      </x:c>
      <x:c r="M35" s="27" t="str">
        <x:f>IF(OR(K35="",I35="",N35=""),"",IF(N35&gt;=I35,ROUND(I35*K35,4),""))</x:f>
      </x:c>
      <x:c r="N35"/>
      <x:c r="O35" t="str">
        <x:v>Listing snapshot</x:v>
      </x:c>
      <x:c r="P35" s="16" t="n">
        <x:v>46300</x:v>
      </x:c>
      <x:c r="Q35" t="str">
        <x:v>2026-10-06</x:v>
      </x:c>
      <x:c r="R35" t="str"/>
      <x:c r="S35" t="str">
        <x:v>https://www.lcsc.com/product-detail/C105604.html</x:v>
      </x:c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IF(OR(D36="",G36="",H36=""),"",IF(COUNTIF($D$11:D36,D36)&gt;1,0,ROUNDUP(MAX(SUMIF($D$11:$D$83,D36,$F$11:$F$83),G36)/H36,0)*H36))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IF(OR(D37="",G37="",H37=""),"",IF(COUNTIF($D$11:D37,D37)&gt;1,0,ROUNDUP(MAX(SUMIF($D$11:$D$83,D37,$F$11:$F$83),G37)/H37,0)*H37))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C185, C175, C176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6</x:v>
      </x:c>
      <x:c r="G38" t="n">
        <x:v>10</x:v>
      </x:c>
      <x:c r="H38" t="n">
        <x:v>10</x:v>
      </x:c>
      <x:c r="I38" t="n">
        <x:f>IF(OR(D38="",G38="",H38=""),"",IF(COUNTIF($D$11:D38,D38)&gt;1,0,ROUNDUP(MAX(SUMIF($D$11:$D$83,D38,$F$11:$F$83),G38)/H38,0)*H38))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0.558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IF(OR(D39="",G39="",H39=""),"",IF(COUNTIF($D$11:D39,D39)&gt;1,0,ROUNDUP(MAX(SUMIF($D$11:$D$83,D39,$F$11:$F$83),G39)/H39,0)*H39))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IF(OR(D40="",G40="",H40=""),"",IF(COUNTIF($D$11:D40,D40)&gt;1,0,ROUNDUP(MAX(SUMIF($D$11:$D$83,D40,$F$11:$F$83),G40)/H40,0)*H40))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IF(OR(D41="",G41="",H41=""),"",IF(COUNTIF($D$11:D41,D41)&gt;1,0,ROUNDUP(MAX(SUMIF($D$11:$D$83,D41,$F$11:$F$83),G41)/H41,0)*H41))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</x:v>
      </x:c>
      <x:c r="C42" s="25" t="str">
        <x:v>Samsung Electro-Mechanics</x:v>
      </x:c>
      <x:c r="D42" s="25" t="str">
        <x:v>CL10C331JB8NNNC</x:v>
      </x:c>
      <x:c r="E42" s="25" t="str">
        <x:v>C1578</x:v>
      </x:c>
      <x:c r="F42" s="25" t="n">
        <x:v>2</x:v>
      </x:c>
      <x:c r="G42" t="n">
        <x:v>100</x:v>
      </x:c>
      <x:c r="H42" t="n">
        <x:v>100</x:v>
      </x:c>
      <x:c r="I42" t="n">
        <x:f>IF(OR(D42="",G42="",H42=""),"",IF(COUNTIF($D$11:D42,D42)&gt;1,0,ROUNDUP(MAX(SUMIF($D$11:$D$83,D42,$F$11:$F$83),G42)/H42,0)*H42))</x:f>
        <x:v>100</x:v>
      </x:c>
      <x:c r="J42" t="n">
        <x:v>100</x:v>
      </x:c>
      <x:c r="K42" s="26" t="n">
        <x:v>0.0089</x:v>
      </x:c>
      <x:c r="L42" s="27" t="n">
        <x:f>IF(K42="","",ROUND(F42*K42,4))</x:f>
        <x:v>0.0178</x:v>
      </x:c>
      <x:c r="M42" s="27" t="str">
        <x:f>IF(OR(K42="",I42="",N42=""),"",IF(N42&gt;=I42,ROUND(I42*K42,4),""))</x:f>
      </x:c>
      <x:c r="N42"/>
      <x:c r="O42" t="str">
        <x:v>Listing snapshot</x:v>
      </x:c>
      <x:c r="P42" s="16" t="n">
        <x:v>46300</x:v>
      </x:c>
      <x:c r="Q42" t="str">
        <x:v>2026-10-06</x:v>
      </x:c>
      <x:c r="R42" t="str"/>
      <x:c r="S42" t="str">
        <x:v>https://www.lcsc.com/product-detail/C1578.html</x:v>
      </x:c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IF(OR(D43="",G43="",H43=""),"",IF(COUNTIF($D$11:D43,D43)&gt;1,0,ROUNDUP(MAX(SUMIF($D$11:$D$83,D43,$F$11:$F$83),G43)/H43,0)*H43))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IF(OR(D44="",G44="",H44=""),"",IF(COUNTIF($D$11:D44,D44)&gt;1,0,ROUNDUP(MAX(SUMIF($D$11:$D$83,D44,$F$11:$F$83),G44)/H44,0)*H44))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IF(OR(D45="",G45="",H45=""),"",IF(COUNTIF($D$11:D45,D45)&gt;1,0,ROUNDUP(MAX(SUMIF($D$11:$D$83,D45,$F$11:$F$83),G45)/H45,0)*H45))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IF(OR(D46="",G46="",H46=""),"",IF(COUNTIF($D$11:D46,D46)&gt;1,0,ROUNDUP(MAX(SUMIF($D$11:$D$83,D46,$F$11:$F$83),G46)/H46,0)*H46))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IF(OR(D47="",G47="",H47=""),"",IF(COUNTIF($D$11:D47,D47)&gt;1,0,ROUNDUP(MAX(SUMIF($D$11:$D$83,D47,$F$11:$F$83),G47)/H47,0)*H47))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IF(OR(D48="",G48="",H48=""),"",IF(COUNTIF($D$11:D48,D48)&gt;1,0,ROUNDUP(MAX(SUMIF($D$11:$D$83,D48,$F$11:$F$83),G48)/H48,0)*H48))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IF(OR(D49="",G49="",H49=""),"",IF(COUNTIF($D$11:D49,D49)&gt;1,0,ROUNDUP(MAX(SUMIF($D$11:$D$83,D49,$F$11:$F$83),G49)/H49,0)*H49))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5</x:v>
      </x:c>
      <x:c r="G50" t="n">
        <x:v>100</x:v>
      </x:c>
      <x:c r="H50" t="n">
        <x:v>100</x:v>
      </x:c>
      <x:c r="I50" t="n">
        <x:f>IF(OR(D50="",G50="",H50=""),"",IF(COUNTIF($D$11:D50,D50)&gt;1,0,ROUNDUP(MAX(SUMIF($D$11:$D$83,D50,$F$11:$F$83),G50)/H50,0)*H50))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0.017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IF(OR(D51="",G51="",H51=""),"",IF(COUNTIF($D$11:D51,D51)&gt;1,0,ROUNDUP(MAX(SUMIF($D$11:$D$83,D51,$F$11:$F$83),G51)/H51,0)*H51))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IF(OR(D52="",G52="",H52=""),"",IF(COUNTIF($D$11:D52,D52)&gt;1,0,ROUNDUP(MAX(SUMIF($D$11:$D$83,D52,$F$11:$F$83),G52)/H52,0)*H52))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IF(OR(D53="",G53="",H53=""),"",IF(COUNTIF($D$11:D53,D53)&gt;1,0,ROUNDUP(MAX(SUMIF($D$11:$D$83,D53,$F$11:$F$83),G53)/H53,0)*H53))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 t="str">
        <x:v>Molex</x:v>
      </x:c>
      <x:c r="D54" s="25" t="str">
        <x:v>43650-0300</x:v>
      </x:c>
      <x:c r="E54" s="25" t="str">
        <x:v>C503478</x:v>
      </x:c>
      <x:c r="F54" s="25" t="n">
        <x:v>1</x:v>
      </x:c>
      <x:c r="G54" t="n">
        <x:v>1</x:v>
      </x:c>
      <x:c r="H54" t="n">
        <x:v>1</x:v>
      </x:c>
      <x:c r="I54" t="n">
        <x:f>IF(OR(D54="",G54="",H54=""),"",IF(COUNTIF($D$11:D54,D54)&gt;1,0,ROUNDUP(MAX(SUMIF($D$11:$D$83,D54,$F$11:$F$83),G54)/H54,0)*H54))</x:f>
        <x:v>1</x:v>
      </x:c>
      <x:c r="J54" t="n">
        <x:v>1</x:v>
      </x:c>
      <x:c r="K54" s="26" t="n">
        <x:v>0.5485</x:v>
      </x:c>
      <x:c r="L54" s="27" t="n">
        <x:f>IF(K54="","",ROUND(F54*K54,4))</x:f>
        <x:v>0.5485</x:v>
      </x:c>
      <x:c r="M54" s="27" t="n">
        <x:f>IF(OR(K54="",I54="",N54=""),"",IF(N54&gt;=I54,ROUND(I54*K54,4),""))</x:f>
        <x:v>0.5485</x:v>
      </x:c>
      <x:c r="N54" t="n">
        <x:v>9368</x:v>
      </x:c>
      <x:c r="O54" t="str">
        <x:v>Listing snapshot, unverified</x:v>
      </x:c>
      <x:c r="P54" s="16" t="n">
        <x:v>46300</x:v>
      </x:c>
      <x:c r="Q54" t="str">
        <x:v>2026-10-06</x:v>
      </x:c>
      <x:c r="R54" t="str">
        <x:v>Selected 2026-10-06: Micro-Fit 3.0 3-pos right-angle header, 8.5 A/contact (LCSC listing); mates 43645-0300 housing + 43030 crimps (not yet in BOM). LCSC datasheet file is an LXW 5 A drawing; use Molex PS-43650. Price/stock from 2026-10-06 LCSC page, not a quote.</x:v>
      </x:c>
      <x:c r="S54" t="str">
        <x:v>https://www.lcsc.com/product-detail/C503478.html</x:v>
      </x:c>
    </x:row>
    <x:row r="55" ht="36" customHeight="1">
      <x:c r="A55" s="25" t="str">
        <x:v>SW100</x:v>
      </x:c>
      <x:c r="B55" s="25" t="str">
        <x:v>QON wake pushbutton</x:v>
      </x:c>
      <x:c r="C55" s="25" t="str">
        <x:v>TE Connectivity</x:v>
      </x:c>
      <x:c r="D55" s="25" t="str">
        <x:v>1977066-1</x:v>
      </x:c>
      <x:c r="E55" s="25" t="str">
        <x:v>C2972219</x:v>
      </x:c>
      <x:c r="F55" s="25" t="n">
        <x:v>1</x:v>
      </x:c>
      <x:c r="G55" t="n">
        <x:v>1</x:v>
      </x:c>
      <x:c r="H55" t="n">
        <x:v>1</x:v>
      </x:c>
      <x:c r="I55" t="n">
        <x:f>IF(OR(D55="",G55="",H55=""),"",IF(COUNTIF($D$11:D55,D55)&gt;1,0,ROUNDUP(MAX(SUMIF($D$11:$D$83,D55,$F$11:$F$83),G55)/H55,0)*H55))</x:f>
        <x:v>1</x:v>
      </x:c>
      <x:c r="J55" t="n">
        <x:v>1</x:v>
      </x:c>
      <x:c r="K55" s="26" t="n">
        <x:v>0.6291</x:v>
      </x:c>
      <x:c r="L55" s="27" t="n">
        <x:f>IF(K55="","",ROUND(F55*K55,4))</x:f>
        <x:v>0.6291</x:v>
      </x:c>
      <x:c r="M55" s="27" t="n">
        <x:f>IF(OR(K55="",I55="",N55=""),"",IF(N55&gt;=I55,ROUND(I55*K55,4),""))</x:f>
        <x:v>0.6291</x:v>
      </x:c>
      <x:c r="N55" t="n">
        <x:v>2009</x:v>
      </x:c>
      <x:c r="O55" t="str">
        <x:v>Listing snapshot, unverified</x:v>
      </x:c>
      <x:c r="P55" s="16" t="n">
        <x:v>46300</x:v>
      </x:c>
      <x:c r="Q55" t="str">
        <x:v>2026-10-06</x:v>
      </x:c>
      <x:c r="R55" t="str">
        <x:v>Selected 2026-10-06: right-angle SMT tact, 50 mA @12 V. LCSC number confirmed. Price/stock from LCSC page 2026-10-06, not a quote.</x:v>
      </x:c>
      <x:c r="S55" t="str">
        <x:v>https://www.lcsc.com/product-detail/C2972219.html</x:v>
      </x:c>
    </x:row>
    <x:row r="56" ht="36" customHeight="1">
      <x:c r="A56" s="25" t="str">
        <x:v>SW101</x:v>
      </x:c>
      <x:c r="B56" s="25" t="str">
        <x:v>Pack-positive disconnect switch</x:v>
      </x:c>
      <x:c r="C56" s="25" t="str">
        <x:v>SHOU HAN</x:v>
      </x:c>
      <x:c r="D56" s="25" t="str">
        <x:v>KCD1-201-R</x:v>
      </x:c>
      <x:c r="E56" s="25" t="str">
        <x:v>C5884429</x:v>
      </x:c>
      <x:c r="F56" s="25" t="n">
        <x:v>1</x:v>
      </x:c>
      <x:c r="G56" t="n">
        <x:v>1</x:v>
      </x:c>
      <x:c r="H56" t="n">
        <x:v>1</x:v>
      </x:c>
      <x:c r="I56" t="n">
        <x:f>IF(OR(D56="",G56="",H56=""),"",IF(COUNTIF($D$11:D56,D56)&gt;1,0,ROUNDUP(MAX(SUMIF($D$11:$D$83,D56,$F$11:$F$83),G56)/H56,0)*H56))</x:f>
        <x:v>1</x:v>
      </x:c>
      <x:c r="J56" t="n">
        <x:v>1</x:v>
      </x:c>
      <x:c r="K56" s="26" t="n">
        <x:v>0.338</x:v>
      </x:c>
      <x:c r="L56" s="27" t="n">
        <x:f>IF(K56="","",ROUND(F56*K56,4))</x:f>
        <x:v>0.338</x:v>
      </x:c>
      <x:c r="M56" s="27" t="str">
        <x:f>IF(OR(K56="",I56="",N56=""),"",IF(N56&gt;=I56,ROUND(I56*K56,4),""))</x:f>
      </x:c>
      <x:c r="N56" t="n">
        <x:v>0</x:v>
      </x:c>
      <x:c r="O56" t="str">
        <x:v>Listing snapshot, unverified</x:v>
      </x:c>
      <x:c r="P56" s="16" t="n">
        <x:v>46300</x:v>
      </x:c>
      <x:c r="Q56" t="str">
        <x:v>2026-10-06</x:v>
      </x:c>
      <x:c r="R56" t="str">
        <x:v>Selected 2026-10-06: 20 mm round SPST rocker, 10 A @12 VDC (datasheet), 6 A 250 VAC. LCSC stock 0 at 2026-10-06: availability and 3-terminal mapping UNVERIFIED; peak 15-20 A exceeds rating, see HANDOVER.</x:v>
      </x:c>
      <x:c r="S56" t="str">
        <x:v>https://www.lcsc.com/product-detail/C5884429.html</x:v>
      </x:c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IF(OR(D57="",G57="",H57=""),"",IF(COUNTIF($D$11:D57,D57)&gt;1,0,ROUNDUP(MAX(SUMIF($D$11:$D$83,D57,$F$11:$F$83),G57)/H57,0)*H57))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C126, C160, C162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10</x:v>
      </x:c>
      <x:c r="G58" t="n">
        <x:v>100</x:v>
      </x:c>
      <x:c r="H58" t="n">
        <x:v>100</x:v>
      </x:c>
      <x:c r="I58" t="n">
        <x:f>IF(OR(D58="",G58="",H58=""),"",IF(COUNTIF($D$11:D58,D58)&gt;1,0,ROUNDUP(MAX(SUMIF($D$11:$D$83,D58,$F$11:$F$83),G58)/H58,0)*H58))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0.111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IF(OR(D59="",G59="",H59=""),"",IF(COUNTIF($D$11:D59,D59)&gt;1,0,ROUNDUP(MAX(SUMIF($D$11:$D$83,D59,$F$11:$F$83),G59)/H59,0)*H59))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IF(OR(D60="",G60="",H60=""),"",IF(COUNTIF($D$11:D60,D60)&gt;1,0,ROUNDUP(MAX(SUMIF($D$11:$D$83,D60,$F$11:$F$83),G60)/H60,0)*H60))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IF(OR(D61="",G61="",H61=""),"",IF(COUNTIF($D$11:D61,D61)&gt;1,0,ROUNDUP(MAX(SUMIF($D$11:$D$83,D61,$F$11:$F$83),G61)/H61,0)*H61))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IF(OR(D62="",G62="",H62=""),"",IF(COUNTIF($D$11:D62,D62)&gt;1,0,ROUNDUP(MAX(SUMIF($D$11:$D$83,D62,$F$11:$F$83),G62)/H62,0)*H62))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IF(OR(D63="",G63="",H63=""),"",IF(COUNTIF($D$11:D63,D63)&gt;1,0,ROUNDUP(MAX(SUMIF($D$11:$D$83,D63,$F$11:$F$83),G63)/H63,0)*H63))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IF(OR(D64="",G64="",H64=""),"",IF(COUNTIF($D$11:D64,D64)&gt;1,0,ROUNDUP(MAX(SUMIF($D$11:$D$83,D64,$F$11:$F$83),G64)/H64,0)*H64))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IF(OR(D65="",G65="",H65=""),"",IF(COUNTIF($D$11:D65,D65)&gt;1,0,ROUNDUP(MAX(SUMIF($D$11:$D$83,D65,$F$11:$F$83),G65)/H65,0)*H65))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IF(OR(D66="",G66="",H66=""),"",IF(COUNTIF($D$11:D66,D66)&gt;1,0,ROUNDUP(MAX(SUMIF($D$11:$D$83,D66,$F$11:$F$83),G66)/H66,0)*H66))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IF(OR(D67="",G67="",H67=""),"",IF(COUNTIF($D$11:D67,D67)&gt;1,0,ROUNDUP(MAX(SUMIF($D$11:$D$83,D67,$F$11:$F$83),G67)/H67,0)*H67))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IF(OR(D68="",G68="",H68=""),"",IF(COUNTIF($D$11:D68,D68)&gt;1,0,ROUNDUP(MAX(SUMIF($D$11:$D$83,D68,$F$11:$F$83),G68)/H68,0)*H68))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R154, R160, R175, R176</x:v>
      </x:c>
      <x:c r="B69" s="25" t="str">
        <x:v>100k EN / MODE / bleeder / BOOT0 pull-down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6</x:v>
      </x:c>
      <x:c r="G69" t="n">
        <x:v>100</x:v>
      </x:c>
      <x:c r="H69" t="n">
        <x:v>100</x:v>
      </x:c>
      <x:c r="I69" t="n">
        <x:f>IF(OR(D69="",G69="",H69=""),"",IF(COUNTIF($D$11:D69,D69)&gt;1,0,ROUNDUP(MAX(SUMIF($D$11:$D$83,D69,$F$11:$F$83),G69)/H69,0)*H69))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0.0216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IF(OR(D70="",G70="",H70=""),"",IF(COUNTIF($D$11:D70,D70)&gt;1,0,ROUNDUP(MAX(SUMIF($D$11:$D$83,D70,$F$11:$F$83),G70)/H70,0)*H70))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IF(OR(D71="",G71="",H71=""),"",IF(COUNTIF($D$11:D71,D71)&gt;1,0,ROUNDUP(MAX(SUMIF($D$11:$D$83,D71,$F$11:$F$83),G71)/H71,0)*H71))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IF(OR(D72="",G72="",H72=""),"",IF(COUNTIF($D$11:D72,D72)&gt;1,0,ROUNDUP(MAX(SUMIF($D$11:$D$83,D72,$F$11:$F$83),G72)/H72,0)*H72))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IF(OR(D73="",G73="",H73=""),"",IF(COUNTIF($D$11:D73,D73)&gt;1,0,ROUNDUP(MAX(SUMIF($D$11:$D$83,D73,$F$11:$F$83),G73)/H73,0)*H73))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IF(OR(D74="",G74="",H74=""),"",IF(COUNTIF($D$11:D74,D74)&gt;1,0,ROUNDUP(MAX(SUMIF($D$11:$D$83,D74,$F$11:$F$83),G74)/H74,0)*H74))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IF(OR(D75="",G75="",H75=""),"",IF(COUNTIF($D$11:D75,D75)&gt;1,0,ROUNDUP(MAX(SUMIF($D$11:$D$83,D75,$F$11:$F$83),G75)/H75,0)*H75))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R127, R174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3</x:v>
      </x:c>
      <x:c r="G76" t="n">
        <x:v>100</x:v>
      </x:c>
      <x:c r="H76" t="n">
        <x:v>100</x:v>
      </x:c>
      <x:c r="I76" t="n">
        <x:f>IF(OR(D76="",G76="",H76=""),"",IF(COUNTIF($D$11:D76,D76)&gt;1,0,ROUNDUP(MAX(SUMIF($D$11:$D$83,D76,$F$11:$F$83),G76)/H76,0)*H76))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0.0168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 t="str">
        <x:v>C161</x:v>
      </x:c>
      <x:c r="B77" s="25" t="str">
        <x:v>MCU VDD/VDDA 4.7uF bulk (DS12992 fig. 13)</x:v>
      </x:c>
      <x:c r="C77" s="25" t="str">
        <x:v>Samsung Electro-Mechanics</x:v>
      </x:c>
      <x:c r="D77" s="25" t="str">
        <x:v>CL10A475KO8NNNC</x:v>
      </x:c>
      <x:c r="E77" s="25" t="str">
        <x:v>C19666</x:v>
      </x:c>
      <x:c r="F77" s="25" t="n">
        <x:v>1</x:v>
      </x:c>
      <x:c r="G77" t="n">
        <x:v>10</x:v>
      </x:c>
      <x:c r="H77" t="n">
        <x:v>10</x:v>
      </x:c>
      <x:c r="I77" t="n">
        <x:f>IF(OR(D77="",G77="",H77=""),"",IF(COUNTIF($D$11:D77,D77)&gt;1,0,ROUNDUP(MAX(SUMIF($D$11:$D$83,D77,$F$11:$F$83),G77)/H77,0)*H77))</x:f>
        <x:v>10</x:v>
      </x:c>
      <x:c r="J77" t="n">
        <x:v>10</x:v>
      </x:c>
      <x:c r="K77" s="26" t="n">
        <x:v>0.0298</x:v>
      </x:c>
      <x:c r="L77" s="27" t="n">
        <x:f>IF(K77="","",ROUND(F77*K77,4))</x:f>
        <x:v>0.0298</x:v>
      </x:c>
      <x:c r="M77" s="27" t="n">
        <x:f>IF(OR(K77="",I77="",N77=""),"",IF(N77&gt;=I77,ROUND(I77*K77,4),""))</x:f>
        <x:v>0.298</x:v>
      </x:c>
      <x:c r="N77" t="n">
        <x:v>138390</x:v>
      </x:c>
      <x:c r="O77" t="str">
        <x:v>Listing snapshot, 2026-10-06</x:v>
      </x:c>
      <x:c r="P77" s="16" t="n">
        <x:v>46300</x:v>
      </x:c>
      <x:c r="Q77" t="str">
        <x:v>2026-10-06</x:v>
      </x:c>
      <x:c r="R77" t="str">
        <x:v>LCSC listing 4.7uF/16V X5R 0603; DC-bias derating at 3.0 V not checked.</x:v>
      </x:c>
      <x:c r="S77" t="str">
        <x:v>https://www.lcsc.com/product-detail/C19666.html</x:v>
      </x:c>
    </x:row>
    <x:row r="78" ht="42" customHeight="1">
      <x:c r="A78" s="21" t="str">
        <x:v>J6</x:v>
      </x:c>
      <x:c r="B78" s="21" t="str">
        <x:v>MCU SWD header 1x4 2.54 mm (J7 Tag-Connect TC2030 is PCB pads only, no BOM part)</x:v>
      </x:c>
      <x:c r="C78" s="21" t="str">
        <x:v>Ckmtw</x:v>
      </x:c>
      <x:c r="D78" s="21" t="str">
        <x:v>B-2100S04P-A110</x:v>
      </x:c>
      <x:c r="E78" s="21" t="str">
        <x:v>C124378</x:v>
      </x:c>
      <x:c r="F78" s="21" t="n">
        <x:v>1</x:v>
      </x:c>
      <x:c r="G78" t="n">
        <x:v>10</x:v>
      </x:c>
      <x:c r="H78" t="n">
        <x:v>10</x:v>
      </x:c>
      <x:c r="I78" t="n">
        <x:f>IF(OR(D78="",G78="",H78=""),"",IF(COUNTIF($D$11:D78,D78)&gt;1,0,ROUNDUP(MAX(SUMIF($D$11:$D$83,D78,$F$11:$F$83),G78)/H78,0)*H78))</x:f>
        <x:v>10</x:v>
      </x:c>
      <x:c r="J78" t="n">
        <x:v>10</x:v>
      </x:c>
      <x:c r="K78" s="26"/>
      <x:c r="L78" s="27" t="str">
        <x:f>IF(K78="","",ROUND(F78*K78,4))</x:f>
      </x:c>
      <x:c r="M78" s="27" t="str">
        <x:f>IF(OR(K78="",I78="",N78=""),"",IF(N78&gt;=I78,ROUND(I78*K78,4),""))</x:f>
      </x:c>
      <x:c r="N78"/>
      <x:c r="O78" t="str">
        <x:v>LCSC number from search; price/stock unverified</x:v>
      </x:c>
      <x:c r="P78" s="16" t="n">
        <x:v>46300</x:v>
      </x:c>
      <x:c r="Q78" t="str">
        <x:v>2026-10-06</x:v>
      </x:c>
      <x:c r="R78" t="str">
        <x:v>1x4 straight THT header; footprint PinHeader_1x04_P2.54mm_Vertical (stock KiCad STEP). Pin order 1 SWDIO 2 SWCLK 3 NRST 4 GND. Programmer cable TC2030-IDC (legged footprint J7) is a tool, not fitted.</x:v>
      </x:c>
      <x:c r="S78" t="str">
        <x:v>https://www.lcsc.com/product-detail/C124378.html</x:v>
      </x:c>
    </x:row>
    <x:row r="79" ht="42" customHeight="1">
      <x:c r="A79" s="21" t="str">
        <x:v>Y170</x:v>
      </x:c>
      <x:c r="B79" s="21" t="str">
        <x:v>12 MHz crystal for PCM2902C (3225-4P, CL 20 pF, +/-10 ppm)</x:v>
      </x:c>
      <x:c r="C79" s="21" t="str">
        <x:v>YXC</x:v>
      </x:c>
      <x:c r="D79" s="21" t="str">
        <x:v>X322512MSB4SI</x:v>
      </x:c>
      <x:c r="E79" s="21" t="str">
        <x:v>C9002</x:v>
      </x:c>
      <x:c r="F79" s="21" t="n">
        <x:v>1</x:v>
      </x:c>
      <x:c r="G79" t="n">
        <x:v>10</x:v>
      </x:c>
      <x:c r="H79" t="n">
        <x:v>10</x:v>
      </x:c>
      <x:c r="I79" t="n">
        <x:f>IF(OR(D79="",G79="",H79=""),"",IF(COUNTIF($D$11:D79,D79)&gt;1,0,ROUNDUP(MAX(SUMIF($D$11:$D$83,D79,$F$11:$F$83),G79)/H79,0)*H79))</x:f>
        <x:v>10</x:v>
      </x:c>
      <x:c r="J79" t="n">
        <x:v>10</x:v>
      </x:c>
      <x:c r="K79" s="26" t="n">
        <x:v>0.0371</x:v>
      </x:c>
      <x:c r="L79" s="27" t="n">
        <x:f>IF(K79="","",ROUND(F79*K79,4))</x:f>
        <x:v>0.0371</x:v>
      </x:c>
      <x:c r="M79" s="27" t="n">
        <x:f>IF(OR(K79="",I79="",N79=""),"",IF(N79&gt;=I79,ROUND(I79*K79,4),""))</x:f>
        <x:v>0.371</x:v>
      </x:c>
      <x:c r="N79" t="n">
        <x:v>312110</x:v>
      </x:c>
      <x:c r="O79" t="str">
        <x:v>Listing snapshot, 2026-10-06</x:v>
      </x:c>
      <x:c r="P79" s="16" t="n">
        <x:v>46300</x:v>
      </x:c>
      <x:c r="Q79" t="str">
        <x:v>2026-10-06</x:v>
      </x:c>
      <x:c r="R79" t="str">
        <x:v>Search-result snapshot; datasheet not retrieved. Pads 1/3 crystal, 2/4 GND assumed (generic 3225-4P) - verify. 33 pF load caps (C177/C178) give ~19.5 pF effective CL incl. stray, vs 20 pF rating.</x:v>
      </x:c>
      <x:c r="S79" t="str">
        <x:v>https://www.lcsc.com/product-detail/C9002.html</x:v>
      </x:c>
    </x:row>
    <x:row r="80" ht="42" customHeight="1">
      <x:c r="A80" s="21" t="str">
        <x:v>C177, C178</x:v>
      </x:c>
      <x:c r="B80" s="21" t="str">
        <x:v>Crystal load capacitors 33 pF C0G 0603</x:v>
      </x:c>
      <x:c r="C80" s="21" t="str">
        <x:v>Samsung Electro-Mechanics</x:v>
      </x:c>
      <x:c r="D80" s="21" t="str">
        <x:v>CL10C330JB8NNNC</x:v>
      </x:c>
      <x:c r="E80" s="21" t="str">
        <x:v>C1663</x:v>
      </x:c>
      <x:c r="F80" s="21" t="n">
        <x:v>2</x:v>
      </x:c>
      <x:c r="G80" t="n">
        <x:v>100</x:v>
      </x:c>
      <x:c r="H80" t="n">
        <x:v>100</x:v>
      </x:c>
      <x:c r="I80" t="n">
        <x:f>IF(OR(D80="",G80="",H80=""),"",IF(COUNTIF($D$11:D80,D80)&gt;1,0,ROUNDUP(MAX(SUMIF($D$11:$D$83,D80,$F$11:$F$83),G80)/H80,0)*H80))</x:f>
        <x:v>100</x:v>
      </x:c>
      <x:c r="J80" t="n">
        <x:v>100</x:v>
      </x:c>
      <x:c r="K80" s="26"/>
      <x:c r="L80" s="27" t="str">
        <x:f>IF(K80="","",ROUND(F80*K80,4))</x:f>
      </x:c>
      <x:c r="M80" s="27" t="str">
        <x:f>IF(OR(K80="",I80="",N80=""),"",IF(N80&gt;=I80,ROUND(I80*K80,4),""))</x:f>
      </x:c>
      <x:c r="N80"/>
      <x:c r="O80" t="str">
        <x:v>Search snapshot: from ~0.0026 USD, ~517,700 in stock (unverified)</x:v>
      </x:c>
      <x:c r="P80" s="16" t="n">
        <x:v>46300</x:v>
      </x:c>
      <x:c r="Q80" t="str">
        <x:v>2026-10-06</x:v>
      </x:c>
      <x:c r="R80" t="str">
        <x:v>33 pF + ~3 pF stray each side gives ~19.5 pF effective vs 20 pF crystal rating (DS: 10-33 pF).</x:v>
      </x:c>
      <x:c r="S80" t="str">
        <x:v>https://www.lcsc.com/product-detail/C1663.html</x:v>
      </x:c>
    </x:row>
    <x:row r="81" ht="36" customHeight="1">
      <x:c r="A81" t="str">
        <x:v>R170</x:v>
      </x:c>
      <x:c r="B81" t="str">
        <x:v>PCM2902C VBUS filter 2.2 ohm 1% 0603</x:v>
      </x:c>
      <x:c r="C81" t="str">
        <x:v>YAGEO</x:v>
      </x:c>
      <x:c r="D81" t="str">
        <x:v>RC0603FR-072R2L</x:v>
      </x:c>
      <x:c r="E81" t="str">
        <x:v>C112307</x:v>
      </x:c>
      <x:c r="F81" t="n">
        <x:v>1</x:v>
      </x:c>
      <x:c r="G81" t="n">
        <x:v>100</x:v>
      </x:c>
      <x:c r="H81" t="n">
        <x:v>100</x:v>
      </x:c>
      <x:c r="I81" t="n">
        <x:f>IF(OR(D81="",G81="",H81=""),"",IF(COUNTIF($D$11:D81,D81)&gt;1,0,ROUNDUP(MAX(SUMIF($D$11:$D$83,D81,$F$11:$F$83),G81)/H81,0)*H81))</x:f>
        <x:v>100</x:v>
      </x:c>
      <x:c r="J81" t="n">
        <x:v>100</x:v>
      </x:c>
      <x:c r="K81"/>
      <x:c r="L81" t="str">
        <x:f>IF(K81="","",ROUND(F81*K81,4))</x:f>
      </x:c>
      <x:c r="M81" t="str">
        <x:f>IF(OR(K81="",I81="",N81=""),"",IF(N81&gt;=I81,ROUND(I81*K81,4),""))</x:f>
      </x:c>
      <x:c r="N81"/>
      <x:c r="O81" t="str">
        <x:v>LCSC number from JLCPCB/LCSC listing; price/stock unverified</x:v>
      </x:c>
      <x:c r="P81" t="n">
        <x:v>46300</x:v>
      </x:c>
      <x:c r="Q81" t="str">
        <x:v>2026-10-06</x:v>
      </x:c>
      <x:c r="R81" t="str">
        <x:v>Yageo RC0603FR-072R2L, 2.2 ohm 1% 0603.</x:v>
      </x:c>
      <x:c r="S81" t="str">
        <x:v>https://www.lcsc.com/product-detail/C112307.html</x:v>
      </x:c>
    </x:row>
    <x:row r="82" ht="54" customHeight="1">
      <x:c r="A82" t="str">
        <x:v>R171, R172</x:v>
      </x:c>
      <x:c r="B82" t="str">
        <x:v>USB D+/D- 22 ohm series resistors 0603</x:v>
      </x:c>
      <x:c r="C82" t="str">
        <x:v>YAGEO</x:v>
      </x:c>
      <x:c r="D82" t="str">
        <x:v>RC0603FR-0722RL</x:v>
      </x:c>
      <x:c r="E82" t="str">
        <x:v>C107701</x:v>
      </x:c>
      <x:c r="F82" t="n">
        <x:v>2</x:v>
      </x:c>
      <x:c r="G82" t="n">
        <x:v>100</x:v>
      </x:c>
      <x:c r="H82" t="n">
        <x:v>100</x:v>
      </x:c>
      <x:c r="I82" t="n">
        <x:f>IF(OR(D82="",G82="",H82=""),"",IF(COUNTIF($D$11:D82,D82)&gt;1,0,ROUNDUP(MAX(SUMIF($D$11:$D$83,D82,$F$11:$F$83),G82)/H82,0)*H82))</x:f>
        <x:v>100</x:v>
      </x:c>
      <x:c r="J82" t="n">
        <x:v>100</x:v>
      </x:c>
      <x:c r="K82"/>
      <x:c r="L82" t="str">
        <x:f>IF(K82="","",ROUND(F82*K82,4))</x:f>
      </x:c>
      <x:c r="M82" t="str">
        <x:f>IF(OR(K82="",I82="",N82=""),"",IF(N82&gt;=I82,ROUND(I82*K82,4),""))</x:f>
      </x:c>
      <x:c r="N82"/>
      <x:c r="O82" t="str">
        <x:v>Search snapshot: from ~0.0018 USD, ~216,200 in stock (unverified)</x:v>
      </x:c>
      <x:c r="P82" t="n">
        <x:v>46300</x:v>
      </x:c>
      <x:c r="Q82" t="str">
        <x:v>2026-10-06</x:v>
      </x:c>
      <x:c r="R82" t="str">
        <x:v>Yageo RC0603FR-0722RL, 22 ohm 1% 0603.</x:v>
      </x:c>
      <x:c r="S82" t="str">
        <x:v>https://www.lcsc.com/product-detail/C107701.html</x:v>
      </x:c>
    </x:row>
    <x:row r="83" ht="48" customHeight="1">
      <x:c r="A83" t="str">
        <x:v>R173</x:v>
      </x:c>
      <x:c r="B83" t="str">
        <x:v>D+ pull-up 1.5 kohm 1% 0603 (to VDDI)</x:v>
      </x:c>
      <x:c r="C83" t="str">
        <x:v>YAGEO</x:v>
      </x:c>
      <x:c r="D83" t="str">
        <x:v>RC0603FR-071K5L</x:v>
      </x:c>
      <x:c r="E83" t="str">
        <x:v>C114668</x:v>
      </x:c>
      <x:c r="F83" t="n">
        <x:v>1</x:v>
      </x:c>
      <x:c r="G83" t="n">
        <x:v>100</x:v>
      </x:c>
      <x:c r="H83" t="n">
        <x:v>100</x:v>
      </x:c>
      <x:c r="I83" t="n">
        <x:f>IF(OR(D83="",G83="",H83=""),"",IF(COUNTIF($D$11:D83,D83)&gt;1,0,ROUNDUP(MAX(SUMIF($D$11:$D$83,D83,$F$11:$F$83),G83)/H83,0)*H83))</x:f>
        <x:v>100</x:v>
      </x:c>
      <x:c r="J83" t="n">
        <x:v>100</x:v>
      </x:c>
      <x:c r="K83" t="n">
        <x:v>0.0009</x:v>
      </x:c>
      <x:c r="L83" t="n">
        <x:f>IF(K83="","",ROUND(F83*K83,4))</x:f>
        <x:v>0.0009</x:v>
      </x:c>
      <x:c r="M83" t="n">
        <x:f>IF(OR(K83="",I83="",N83=""),"",IF(N83&gt;=I83,ROUND(I83*K83,4),""))</x:f>
        <x:v>0.09</x:v>
      </x:c>
      <x:c r="N83" t="n">
        <x:v>507200</x:v>
      </x:c>
      <x:c r="O83" t="str">
        <x:v>Listing snapshot, 2026-10-06</x:v>
      </x:c>
      <x:c r="P83" t="n">
        <x:v>46300</x:v>
      </x:c>
      <x:c r="Q83" t="str">
        <x:v>2026-10-06</x:v>
      </x:c>
      <x:c r="R83" t="str">
        <x:v>Search-result price/stock.</x:v>
      </x:c>
      <x:c r="S83" t="str">
        <x:v>https://www.lcsc.com/product-detail/C114668.html</x:v>
      </x:c>
    </x:row>
    <x:row r="84" ht="4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</x:row>
    <x:row r="85" ht="48" customHeight="1">
      <x:c r="A85" t="str">
        <x:v>U18 links a derived STEP with corrected exposed pad; manufacturer exact model remains unavailable.</x:v>
      </x:c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</x:row>
    <x:row r="86" ht="5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 ht="54" customHeight="1">
      <x:c r="A87" t="str">
        <x:v>U18 links a derived STEP with corrected exposed pad; manufacturer exact model remains unavailable.</x:v>
      </x:c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